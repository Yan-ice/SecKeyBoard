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ce/Desktop/SecKeyBoard/experiments/efficiency/"/>
    </mc:Choice>
  </mc:AlternateContent>
  <xr:revisionPtr revIDLastSave="0" documentId="13_ncr:1_{30A2BECE-2DB6-7141-A9A7-FBD99DB7C036}" xr6:coauthVersionLast="47" xr6:coauthVersionMax="47" xr10:uidLastSave="{00000000-0000-0000-0000-000000000000}"/>
  <bookViews>
    <workbookView xWindow="3340" yWindow="1000" windowWidth="24300" windowHeight="16660" firstSheet="4" activeTab="15" xr2:uid="{66960329-54C4-3D42-8CA6-EDF52A3616F2}"/>
  </bookViews>
  <sheets>
    <sheet name="template" sheetId="3" r:id="rId1"/>
    <sheet name="YJQ" sheetId="9" r:id="rId2"/>
    <sheet name="RPF" sheetId="2" r:id="rId3"/>
    <sheet name="RPF2" sheetId="5" r:id="rId4"/>
    <sheet name="RP" sheetId="1" r:id="rId5"/>
    <sheet name="lijunxian" sheetId="15" r:id="rId6"/>
    <sheet name="hlb" sheetId="16" r:id="rId7"/>
    <sheet name="tw" sheetId="14" r:id="rId8"/>
    <sheet name="xzy" sheetId="17" r:id="rId9"/>
    <sheet name="pama" sheetId="12" r:id="rId10"/>
    <sheet name="zyc" sheetId="13" r:id="rId11"/>
    <sheet name="tes" sheetId="7" r:id="rId12"/>
    <sheet name="萧" sheetId="6" r:id="rId13"/>
    <sheet name="ytc" sheetId="11" r:id="rId14"/>
    <sheet name="yier" sheetId="24" r:id="rId15"/>
    <sheet name="汇总" sheetId="8" r:id="rId16"/>
    <sheet name="汇总 (2)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8" l="1" a="1"/>
  <c r="V5" i="8" a="1"/>
  <c r="V5" i="8" s="1"/>
  <c r="X5" i="8" s="1"/>
  <c r="Y5" i="8" s="1"/>
  <c r="V6" i="8" a="1"/>
  <c r="V6" i="8" s="1"/>
  <c r="X6" i="8" s="1"/>
  <c r="Y6" i="8" s="1"/>
  <c r="V7" i="8" a="1"/>
  <c r="V7" i="8" s="1"/>
  <c r="X7" i="8" s="1"/>
  <c r="Y7" i="8" s="1"/>
  <c r="V8" i="8" a="1"/>
  <c r="V8" i="8" s="1"/>
  <c r="V9" i="8" a="1"/>
  <c r="V9" i="8" s="1"/>
  <c r="V10" i="8" a="1"/>
  <c r="V10" i="8" s="1"/>
  <c r="X10" i="8" s="1"/>
  <c r="Y10" i="8" s="1"/>
  <c r="V11" i="8" a="1"/>
  <c r="V11" i="8" s="1"/>
  <c r="V12" i="8" a="1"/>
  <c r="V12" i="8" s="1"/>
  <c r="X12" i="8" s="1"/>
  <c r="Y12" i="8" s="1"/>
  <c r="V13" i="8" a="1"/>
  <c r="V13" i="8" s="1"/>
  <c r="X13" i="8" s="1"/>
  <c r="Y13" i="8" s="1"/>
  <c r="V14" i="8" a="1"/>
  <c r="V14" i="8" s="1"/>
  <c r="X14" i="8" s="1"/>
  <c r="Y14" i="8" s="1"/>
  <c r="V15" i="8" a="1"/>
  <c r="V15" i="8" s="1"/>
  <c r="X15" i="8" s="1"/>
  <c r="Y15" i="8" s="1"/>
  <c r="V16" i="8" a="1"/>
  <c r="V16" i="8" s="1"/>
  <c r="X16" i="8" s="1"/>
  <c r="Y16" i="8" s="1"/>
  <c r="V17" i="8" a="1"/>
  <c r="V17" i="8" s="1"/>
  <c r="X17" i="8" s="1"/>
  <c r="Y17" i="8" s="1"/>
  <c r="V3" i="8" a="1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3" i="19"/>
  <c r="U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C2" i="8"/>
  <c r="B2" i="8"/>
  <c r="L4" i="19" a="1"/>
  <c r="L4" i="19" s="1"/>
  <c r="N4" i="19" s="1"/>
  <c r="L5" i="19" a="1"/>
  <c r="L6" i="19" a="1"/>
  <c r="L6" i="19" s="1"/>
  <c r="N6" i="19" s="1"/>
  <c r="L7" i="19" a="1"/>
  <c r="L7" i="19" s="1"/>
  <c r="N7" i="19" s="1"/>
  <c r="L8" i="19" a="1"/>
  <c r="L8" i="19" s="1"/>
  <c r="N8" i="19" s="1"/>
  <c r="L9" i="19" a="1"/>
  <c r="L9" i="19" s="1"/>
  <c r="N9" i="19" s="1"/>
  <c r="L10" i="19" a="1"/>
  <c r="L10" i="19" s="1"/>
  <c r="N10" i="19" s="1"/>
  <c r="L11" i="19" a="1"/>
  <c r="L11" i="19" s="1"/>
  <c r="N11" i="19" s="1"/>
  <c r="L12" i="19" a="1"/>
  <c r="L12" i="19" s="1"/>
  <c r="N12" i="19" s="1"/>
  <c r="L13" i="19" a="1"/>
  <c r="L13" i="19" s="1"/>
  <c r="N13" i="19" s="1"/>
  <c r="L14" i="19" a="1"/>
  <c r="L14" i="19" s="1"/>
  <c r="N14" i="19" s="1"/>
  <c r="L15" i="19" a="1"/>
  <c r="L15" i="19" s="1"/>
  <c r="N15" i="19" s="1"/>
  <c r="L16" i="19" a="1"/>
  <c r="L16" i="19" s="1"/>
  <c r="N16" i="19" s="1"/>
  <c r="L17" i="19" a="1"/>
  <c r="L17" i="19" s="1"/>
  <c r="N17" i="19" s="1"/>
  <c r="L3" i="19" a="1"/>
  <c r="C2" i="19"/>
  <c r="D2" i="19"/>
  <c r="E2" i="19"/>
  <c r="F2" i="19"/>
  <c r="G2" i="19"/>
  <c r="H2" i="19"/>
  <c r="I2" i="19"/>
  <c r="J2" i="19"/>
  <c r="K2" i="19"/>
  <c r="B2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41" i="19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N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40" i="8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W8" i="24"/>
  <c r="V8" i="24"/>
  <c r="U8" i="24"/>
  <c r="T8" i="24"/>
  <c r="S8" i="24"/>
  <c r="R8" i="24"/>
  <c r="Q8" i="24"/>
  <c r="P8" i="24"/>
  <c r="O8" i="24"/>
  <c r="N8" i="24"/>
  <c r="W8" i="11"/>
  <c r="V8" i="11"/>
  <c r="U8" i="11"/>
  <c r="T8" i="11"/>
  <c r="S8" i="11"/>
  <c r="R8" i="11"/>
  <c r="Q8" i="11"/>
  <c r="P8" i="11"/>
  <c r="O8" i="11"/>
  <c r="N8" i="11"/>
  <c r="W8" i="6"/>
  <c r="V8" i="6"/>
  <c r="U8" i="6"/>
  <c r="T8" i="6"/>
  <c r="S8" i="6"/>
  <c r="R8" i="6"/>
  <c r="Q8" i="6"/>
  <c r="P8" i="6"/>
  <c r="O8" i="6"/>
  <c r="N8" i="6"/>
  <c r="W8" i="7"/>
  <c r="V8" i="7"/>
  <c r="U8" i="7"/>
  <c r="T8" i="7"/>
  <c r="S8" i="7"/>
  <c r="R8" i="7"/>
  <c r="Q8" i="7"/>
  <c r="P8" i="7"/>
  <c r="O8" i="7"/>
  <c r="N8" i="7"/>
  <c r="W8" i="13"/>
  <c r="V8" i="13"/>
  <c r="U8" i="13"/>
  <c r="T8" i="13"/>
  <c r="S8" i="13"/>
  <c r="R8" i="13"/>
  <c r="Q8" i="13"/>
  <c r="P8" i="13"/>
  <c r="O8" i="13"/>
  <c r="N8" i="13"/>
  <c r="W8" i="12"/>
  <c r="V8" i="12"/>
  <c r="U8" i="12"/>
  <c r="T8" i="12"/>
  <c r="S8" i="12"/>
  <c r="R8" i="12"/>
  <c r="Q8" i="12"/>
  <c r="P8" i="12"/>
  <c r="O8" i="12"/>
  <c r="N8" i="12"/>
  <c r="W8" i="17"/>
  <c r="V8" i="17"/>
  <c r="U8" i="17"/>
  <c r="T8" i="17"/>
  <c r="S8" i="17"/>
  <c r="R8" i="17"/>
  <c r="Q8" i="17"/>
  <c r="P8" i="17"/>
  <c r="O8" i="17"/>
  <c r="N8" i="17"/>
  <c r="W8" i="14"/>
  <c r="V8" i="14"/>
  <c r="U8" i="14"/>
  <c r="T8" i="14"/>
  <c r="S8" i="14"/>
  <c r="R8" i="14"/>
  <c r="Q8" i="14"/>
  <c r="P8" i="14"/>
  <c r="O8" i="14"/>
  <c r="N8" i="14"/>
  <c r="W8" i="16"/>
  <c r="V8" i="16"/>
  <c r="U8" i="16"/>
  <c r="T8" i="16"/>
  <c r="S8" i="16"/>
  <c r="R8" i="16"/>
  <c r="Q8" i="16"/>
  <c r="P8" i="16"/>
  <c r="O8" i="16"/>
  <c r="N8" i="16"/>
  <c r="W8" i="15"/>
  <c r="V8" i="15"/>
  <c r="U8" i="15"/>
  <c r="T8" i="15"/>
  <c r="S8" i="15"/>
  <c r="R8" i="15"/>
  <c r="Q8" i="15"/>
  <c r="P8" i="15"/>
  <c r="O8" i="15"/>
  <c r="N8" i="15"/>
  <c r="W8" i="1"/>
  <c r="V8" i="1"/>
  <c r="U8" i="1"/>
  <c r="T8" i="1"/>
  <c r="S8" i="1"/>
  <c r="R8" i="1"/>
  <c r="Q8" i="1"/>
  <c r="P8" i="1"/>
  <c r="O8" i="1"/>
  <c r="N8" i="1"/>
  <c r="W8" i="5"/>
  <c r="V8" i="5"/>
  <c r="U8" i="5"/>
  <c r="T8" i="5"/>
  <c r="S8" i="5"/>
  <c r="R8" i="5"/>
  <c r="Q8" i="5"/>
  <c r="P8" i="5"/>
  <c r="O8" i="5"/>
  <c r="N8" i="5"/>
  <c r="W8" i="2"/>
  <c r="V8" i="2"/>
  <c r="U8" i="2"/>
  <c r="T8" i="2"/>
  <c r="S8" i="2"/>
  <c r="R8" i="2"/>
  <c r="Q8" i="2"/>
  <c r="P8" i="2"/>
  <c r="O8" i="2"/>
  <c r="N8" i="2"/>
  <c r="W8" i="9"/>
  <c r="V8" i="9"/>
  <c r="U8" i="9"/>
  <c r="T8" i="9"/>
  <c r="S8" i="9"/>
  <c r="R8" i="9"/>
  <c r="Q8" i="9"/>
  <c r="P8" i="9"/>
  <c r="O8" i="9"/>
  <c r="N8" i="9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W7" i="24"/>
  <c r="V7" i="24"/>
  <c r="U7" i="24"/>
  <c r="T7" i="24"/>
  <c r="S7" i="24"/>
  <c r="R7" i="24"/>
  <c r="Q7" i="24"/>
  <c r="P7" i="24"/>
  <c r="O7" i="24"/>
  <c r="N7" i="24"/>
  <c r="W7" i="15"/>
  <c r="V7" i="15"/>
  <c r="U7" i="15"/>
  <c r="T7" i="15"/>
  <c r="S7" i="15"/>
  <c r="R7" i="15"/>
  <c r="Q7" i="15"/>
  <c r="P7" i="15"/>
  <c r="O7" i="15"/>
  <c r="N7" i="15"/>
  <c r="W7" i="1"/>
  <c r="V7" i="1"/>
  <c r="U7" i="1"/>
  <c r="T7" i="1"/>
  <c r="S7" i="1"/>
  <c r="R7" i="1"/>
  <c r="Q7" i="1"/>
  <c r="P7" i="1"/>
  <c r="O7" i="1"/>
  <c r="N7" i="1"/>
  <c r="W7" i="5"/>
  <c r="V7" i="5"/>
  <c r="U7" i="5"/>
  <c r="T7" i="5"/>
  <c r="S7" i="5"/>
  <c r="R7" i="5"/>
  <c r="Q7" i="5"/>
  <c r="P7" i="5"/>
  <c r="O7" i="5"/>
  <c r="N7" i="5"/>
  <c r="W7" i="2"/>
  <c r="V7" i="2"/>
  <c r="U7" i="2"/>
  <c r="T7" i="2"/>
  <c r="S7" i="2"/>
  <c r="R7" i="2"/>
  <c r="Q7" i="2"/>
  <c r="P7" i="2"/>
  <c r="O7" i="2"/>
  <c r="N7" i="2"/>
  <c r="W7" i="9"/>
  <c r="V7" i="9"/>
  <c r="U7" i="9"/>
  <c r="T7" i="9"/>
  <c r="S7" i="9"/>
  <c r="R7" i="9"/>
  <c r="Q7" i="9"/>
  <c r="P7" i="9"/>
  <c r="O7" i="9"/>
  <c r="N7" i="9"/>
  <c r="W7" i="11"/>
  <c r="V7" i="11"/>
  <c r="U7" i="11"/>
  <c r="T7" i="11"/>
  <c r="S7" i="11"/>
  <c r="R7" i="11"/>
  <c r="Q7" i="11"/>
  <c r="P7" i="11"/>
  <c r="O7" i="11"/>
  <c r="N7" i="11"/>
  <c r="W7" i="13"/>
  <c r="V7" i="13"/>
  <c r="U7" i="13"/>
  <c r="T7" i="13"/>
  <c r="S7" i="13"/>
  <c r="R7" i="13"/>
  <c r="Q7" i="13"/>
  <c r="P7" i="13"/>
  <c r="O7" i="13"/>
  <c r="N7" i="13"/>
  <c r="W7" i="12"/>
  <c r="V7" i="12"/>
  <c r="U7" i="12"/>
  <c r="T7" i="12"/>
  <c r="S7" i="12"/>
  <c r="R7" i="12"/>
  <c r="Q7" i="12"/>
  <c r="P7" i="12"/>
  <c r="O7" i="12"/>
  <c r="N7" i="12"/>
  <c r="W7" i="17"/>
  <c r="V7" i="17"/>
  <c r="U7" i="17"/>
  <c r="T7" i="17"/>
  <c r="S7" i="17"/>
  <c r="R7" i="17"/>
  <c r="Q7" i="17"/>
  <c r="P7" i="17"/>
  <c r="O7" i="17"/>
  <c r="N7" i="17"/>
  <c r="W7" i="14"/>
  <c r="V7" i="14"/>
  <c r="U7" i="14"/>
  <c r="T7" i="14"/>
  <c r="S7" i="14"/>
  <c r="R7" i="14"/>
  <c r="Q7" i="14"/>
  <c r="P7" i="14"/>
  <c r="O7" i="14"/>
  <c r="N7" i="14"/>
  <c r="W7" i="16"/>
  <c r="V7" i="16"/>
  <c r="U7" i="16"/>
  <c r="T7" i="16"/>
  <c r="S7" i="16"/>
  <c r="R7" i="16"/>
  <c r="Q7" i="16"/>
  <c r="P7" i="16"/>
  <c r="O7" i="16"/>
  <c r="N7" i="16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W20" i="9"/>
  <c r="AG20" i="9"/>
  <c r="AF20" i="9"/>
  <c r="AE20" i="9"/>
  <c r="AD20" i="9"/>
  <c r="AC20" i="9"/>
  <c r="AB20" i="9"/>
  <c r="AA20" i="9"/>
  <c r="Z20" i="9"/>
  <c r="Y20" i="9"/>
  <c r="X20" i="9"/>
  <c r="V20" i="9"/>
  <c r="U20" i="9"/>
  <c r="T20" i="9"/>
  <c r="S20" i="9"/>
  <c r="R20" i="9"/>
  <c r="Q20" i="9"/>
  <c r="P20" i="9"/>
  <c r="O20" i="9"/>
  <c r="N20" i="9"/>
  <c r="AG7" i="9"/>
  <c r="AF7" i="9"/>
  <c r="AE7" i="9"/>
  <c r="AD7" i="9"/>
  <c r="AC7" i="9"/>
  <c r="AB7" i="9"/>
  <c r="AA7" i="9"/>
  <c r="Z7" i="9"/>
  <c r="Y7" i="9"/>
  <c r="X7" i="9"/>
  <c r="AG20" i="3"/>
  <c r="AF20" i="3"/>
  <c r="AE20" i="3"/>
  <c r="AD20" i="3"/>
  <c r="AC20" i="3"/>
  <c r="AB20" i="3"/>
  <c r="AA20" i="3"/>
  <c r="Z20" i="3"/>
  <c r="Y20" i="3"/>
  <c r="X20" i="3"/>
  <c r="AG7" i="3"/>
  <c r="AF7" i="3"/>
  <c r="AE7" i="3"/>
  <c r="AD7" i="3"/>
  <c r="AC7" i="3"/>
  <c r="AB7" i="3"/>
  <c r="AA7" i="3"/>
  <c r="Z7" i="3"/>
  <c r="Y7" i="3"/>
  <c r="X7" i="3"/>
  <c r="AG20" i="2"/>
  <c r="AF20" i="2"/>
  <c r="AE20" i="2"/>
  <c r="AD20" i="2"/>
  <c r="AC20" i="2"/>
  <c r="AB20" i="2"/>
  <c r="AA20" i="2"/>
  <c r="Z20" i="2"/>
  <c r="Y20" i="2"/>
  <c r="X20" i="2"/>
  <c r="AG7" i="2"/>
  <c r="AF7" i="2"/>
  <c r="AE7" i="2"/>
  <c r="AD7" i="2"/>
  <c r="AC7" i="2"/>
  <c r="AB7" i="2"/>
  <c r="AA7" i="2"/>
  <c r="Z7" i="2"/>
  <c r="Y7" i="2"/>
  <c r="X7" i="2"/>
  <c r="AG20" i="1"/>
  <c r="AF20" i="1"/>
  <c r="AE20" i="1"/>
  <c r="AD20" i="1"/>
  <c r="AC20" i="1"/>
  <c r="AB20" i="1"/>
  <c r="AA20" i="1"/>
  <c r="Z20" i="1"/>
  <c r="Y20" i="1"/>
  <c r="X20" i="1"/>
  <c r="AG7" i="1"/>
  <c r="AF7" i="1"/>
  <c r="AE7" i="1"/>
  <c r="AD7" i="1"/>
  <c r="AC7" i="1"/>
  <c r="AB7" i="1"/>
  <c r="AA7" i="1"/>
  <c r="Z7" i="1"/>
  <c r="Y7" i="1"/>
  <c r="X7" i="1"/>
  <c r="AG20" i="7"/>
  <c r="AF20" i="7"/>
  <c r="AE20" i="7"/>
  <c r="AD20" i="7"/>
  <c r="AC20" i="7"/>
  <c r="AB20" i="7"/>
  <c r="AA20" i="7"/>
  <c r="Z20" i="7"/>
  <c r="Y20" i="7"/>
  <c r="X20" i="7"/>
  <c r="AG7" i="7"/>
  <c r="AF7" i="7"/>
  <c r="AE7" i="7"/>
  <c r="AD7" i="7"/>
  <c r="AC7" i="7"/>
  <c r="AB7" i="7"/>
  <c r="AA7" i="7"/>
  <c r="Z7" i="7"/>
  <c r="Y7" i="7"/>
  <c r="X7" i="7"/>
  <c r="AG20" i="5"/>
  <c r="AF20" i="5"/>
  <c r="AE20" i="5"/>
  <c r="AD20" i="5"/>
  <c r="AC20" i="5"/>
  <c r="AB20" i="5"/>
  <c r="AA20" i="5"/>
  <c r="Z20" i="5"/>
  <c r="Y20" i="5"/>
  <c r="X20" i="5"/>
  <c r="AG7" i="5"/>
  <c r="AF7" i="5"/>
  <c r="AE7" i="5"/>
  <c r="AD7" i="5"/>
  <c r="AC7" i="5"/>
  <c r="AB7" i="5"/>
  <c r="AA7" i="5"/>
  <c r="Z7" i="5"/>
  <c r="Y7" i="5"/>
  <c r="X7" i="5"/>
  <c r="W20" i="3"/>
  <c r="V20" i="3"/>
  <c r="U20" i="3"/>
  <c r="T20" i="3"/>
  <c r="S20" i="3"/>
  <c r="R20" i="3"/>
  <c r="Q20" i="3"/>
  <c r="P20" i="3"/>
  <c r="O20" i="3"/>
  <c r="N20" i="3"/>
  <c r="W7" i="3"/>
  <c r="V7" i="3"/>
  <c r="U7" i="3"/>
  <c r="T7" i="3"/>
  <c r="S7" i="3"/>
  <c r="R7" i="3"/>
  <c r="Q7" i="3"/>
  <c r="P7" i="3"/>
  <c r="O7" i="3"/>
  <c r="N7" i="3"/>
  <c r="W20" i="7"/>
  <c r="V20" i="7"/>
  <c r="U20" i="7"/>
  <c r="T20" i="7"/>
  <c r="S20" i="7"/>
  <c r="R20" i="7"/>
  <c r="Q20" i="7"/>
  <c r="P20" i="7"/>
  <c r="O20" i="7"/>
  <c r="N20" i="7"/>
  <c r="W7" i="7"/>
  <c r="V7" i="7"/>
  <c r="U7" i="7"/>
  <c r="T7" i="7"/>
  <c r="S7" i="7"/>
  <c r="R7" i="7"/>
  <c r="Q7" i="7"/>
  <c r="P7" i="7"/>
  <c r="O7" i="7"/>
  <c r="N7" i="7"/>
  <c r="W20" i="5"/>
  <c r="V20" i="5"/>
  <c r="U20" i="5"/>
  <c r="T20" i="5"/>
  <c r="S20" i="5"/>
  <c r="R20" i="5"/>
  <c r="Q20" i="5"/>
  <c r="P20" i="5"/>
  <c r="O20" i="5"/>
  <c r="N20" i="5"/>
  <c r="W20" i="1"/>
  <c r="V20" i="1"/>
  <c r="U20" i="1"/>
  <c r="T20" i="1"/>
  <c r="S20" i="1"/>
  <c r="R20" i="1"/>
  <c r="Q20" i="1"/>
  <c r="P20" i="1"/>
  <c r="O20" i="1"/>
  <c r="N20" i="1"/>
  <c r="W20" i="2"/>
  <c r="V20" i="2"/>
  <c r="U20" i="2"/>
  <c r="T20" i="2"/>
  <c r="S20" i="2"/>
  <c r="R20" i="2"/>
  <c r="Q20" i="2"/>
  <c r="P20" i="2"/>
  <c r="O20" i="2"/>
  <c r="N20" i="2"/>
  <c r="V4" i="8" l="1"/>
  <c r="X4" i="8" s="1"/>
  <c r="Y4" i="8" s="1"/>
  <c r="V3" i="8"/>
  <c r="X3" i="8" s="1"/>
  <c r="Y3" i="8" s="1"/>
  <c r="X9" i="8"/>
  <c r="Y9" i="8" s="1"/>
  <c r="X11" i="8"/>
  <c r="Y11" i="8" s="1"/>
  <c r="X8" i="8"/>
  <c r="Y8" i="8" s="1"/>
  <c r="L5" i="19"/>
  <c r="N5" i="19" s="1"/>
  <c r="L3" i="19"/>
  <c r="N3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<sst xmlns="http://schemas.openxmlformats.org/spreadsheetml/2006/main" count="1759" uniqueCount="112">
  <si>
    <t>使用时间</t>
    <phoneticPr fontId="1" type="noConversion"/>
  </si>
  <si>
    <t>错误数</t>
    <phoneticPr fontId="1" type="noConversion"/>
  </si>
  <si>
    <t>第 1 次使用</t>
    <phoneticPr fontId="1" type="noConversion"/>
  </si>
  <si>
    <t>第 2 次使用</t>
    <phoneticPr fontId="1" type="noConversion"/>
  </si>
  <si>
    <t>第 3 次使用</t>
    <phoneticPr fontId="1" type="noConversion"/>
  </si>
  <si>
    <t>第 4 次使用</t>
    <phoneticPr fontId="1" type="noConversion"/>
  </si>
  <si>
    <t>第 5 次使用</t>
    <phoneticPr fontId="1" type="noConversion"/>
  </si>
  <si>
    <t>第 6 次使用</t>
    <phoneticPr fontId="1" type="noConversion"/>
  </si>
  <si>
    <t>第 7 次使用</t>
    <phoneticPr fontId="1" type="noConversion"/>
  </si>
  <si>
    <t>第 8 次使用</t>
    <phoneticPr fontId="1" type="noConversion"/>
  </si>
  <si>
    <t>第 9 次使用</t>
    <phoneticPr fontId="1" type="noConversion"/>
  </si>
  <si>
    <t>第 10 次使用</t>
    <phoneticPr fontId="1" type="noConversion"/>
  </si>
  <si>
    <t>第 11 次使用</t>
    <phoneticPr fontId="1" type="noConversion"/>
  </si>
  <si>
    <t>第 12 次使用</t>
    <phoneticPr fontId="1" type="noConversion"/>
  </si>
  <si>
    <t>第 13 次使用</t>
    <phoneticPr fontId="1" type="noConversion"/>
  </si>
  <si>
    <t>第 14 次使用</t>
    <phoneticPr fontId="1" type="noConversion"/>
  </si>
  <si>
    <t>第 15 次使用</t>
    <phoneticPr fontId="1" type="noConversion"/>
  </si>
  <si>
    <t>第 16 次使用</t>
    <phoneticPr fontId="1" type="noConversion"/>
  </si>
  <si>
    <t>第 17 次使用</t>
    <phoneticPr fontId="1" type="noConversion"/>
  </si>
  <si>
    <t>第 18 次使用</t>
    <phoneticPr fontId="1" type="noConversion"/>
  </si>
  <si>
    <t>第 19 次使用</t>
    <phoneticPr fontId="1" type="noConversion"/>
  </si>
  <si>
    <t>第 20 次使用</t>
    <phoneticPr fontId="1" type="noConversion"/>
  </si>
  <si>
    <t>STEP 3
点击"Num Keyboard"
重复输入123456，
记录时间与错误情况。</t>
    <phoneticPr fontId="1" type="noConversion"/>
  </si>
  <si>
    <t>STEP 2
点击"Num Keyboard"
重复输入123456，
记录时间与错误情况。</t>
    <phoneticPr fontId="1" type="noConversion"/>
  </si>
  <si>
    <t>STEP 1
初始设置与适应</t>
    <phoneticPr fontId="1" type="noConversion"/>
  </si>
  <si>
    <t>1. 振动频率设置为300，打开numKeyboard，讲解运作机制。</t>
    <phoneticPr fontId="1" type="noConversion"/>
  </si>
  <si>
    <t>2. 打开自动设置，调整适合你的振动频率。</t>
    <phoneticPr fontId="1" type="noConversion"/>
  </si>
  <si>
    <t>3. 依次打开sel keyboard和num keyboard，测试并填写以下表格。</t>
    <phoneticPr fontId="1" type="noConversion"/>
  </si>
  <si>
    <t>STEP 2
点击"Sel Keyboard"
重复输入ABCD，
记录时间与错误情况。</t>
    <phoneticPr fontId="1" type="noConversion"/>
  </si>
  <si>
    <t>RPF</t>
    <phoneticPr fontId="1" type="noConversion"/>
  </si>
  <si>
    <t>RP</t>
    <phoneticPr fontId="1" type="noConversion"/>
  </si>
  <si>
    <t>RPF2</t>
    <phoneticPr fontId="1" type="noConversion"/>
  </si>
  <si>
    <t>tes</t>
    <phoneticPr fontId="1" type="noConversion"/>
  </si>
  <si>
    <t>萧</t>
    <phoneticPr fontId="1" type="noConversion"/>
  </si>
  <si>
    <t>yjjq</t>
    <phoneticPr fontId="1" type="noConversion"/>
  </si>
  <si>
    <t>huang</t>
    <phoneticPr fontId="1" type="noConversion"/>
  </si>
  <si>
    <t>xuzhenyu</t>
    <phoneticPr fontId="1" type="noConversion"/>
  </si>
  <si>
    <t>错误数</t>
  </si>
  <si>
    <t>使用时间</t>
  </si>
  <si>
    <t>第 20 次使用</t>
  </si>
  <si>
    <t>第 19 次使用</t>
  </si>
  <si>
    <t>第 18 次使用</t>
  </si>
  <si>
    <t>第 17 次使用</t>
  </si>
  <si>
    <t>第 16 次使用</t>
  </si>
  <si>
    <t>第 15 次使用</t>
  </si>
  <si>
    <t>第 14 次使用</t>
  </si>
  <si>
    <t>第 13 次使用</t>
  </si>
  <si>
    <t>第 12 次使用</t>
  </si>
  <si>
    <t>第 11 次使用</t>
  </si>
  <si>
    <t>第 10 次使用</t>
  </si>
  <si>
    <t>第 9 次使用</t>
  </si>
  <si>
    <t>第 8 次使用</t>
  </si>
  <si>
    <t>第 7 次使用</t>
  </si>
  <si>
    <t>第 6 次使用</t>
  </si>
  <si>
    <t>第 5 次使用</t>
  </si>
  <si>
    <t>第 4 次使用</t>
  </si>
  <si>
    <t>第 3 次使用</t>
  </si>
  <si>
    <t>第 2 次使用</t>
  </si>
  <si>
    <t>第 1 次使用</t>
  </si>
  <si>
    <t>STEP 3
点击"Digit Pad"
重复输入123456，
一共20次，
记录时间与错误情况。</t>
  </si>
  <si>
    <t>STEP 2
点击"Selection Pad"
重复输入ABCD，
一共10次，
记录时间与错误情况。</t>
  </si>
  <si>
    <t>偏好振动速度</t>
  </si>
  <si>
    <t>00后</t>
  </si>
  <si>
    <t>年龄</t>
  </si>
  <si>
    <t>联系方式</t>
  </si>
  <si>
    <t>Tianchen Yu</t>
  </si>
  <si>
    <t>姓名或昵称</t>
  </si>
  <si>
    <t>STEP 1
填写基本信息</t>
  </si>
  <si>
    <t>ytc</t>
    <phoneticPr fontId="1" type="noConversion"/>
  </si>
  <si>
    <t>STEP 3
点击"Digit Pad"
重复输入123456，
一共20次，
记录时间与错误情况。</t>
    <phoneticPr fontId="1" type="noConversion"/>
  </si>
  <si>
    <t>STEP 2
点击"Selection Pad"
重复输入ABCD，
一共10次，
记录时间与错误情况。</t>
    <phoneticPr fontId="1" type="noConversion"/>
  </si>
  <si>
    <t>偏好振动速度</t>
    <phoneticPr fontId="1" type="noConversion"/>
  </si>
  <si>
    <t>也可以是大致年龄段：如90后，00后</t>
    <phoneticPr fontId="1" type="noConversion"/>
  </si>
  <si>
    <t>年龄</t>
    <phoneticPr fontId="1" type="noConversion"/>
  </si>
  <si>
    <t>手机 / 微信 / 邮箱 均可</t>
    <phoneticPr fontId="1" type="noConversion"/>
  </si>
  <si>
    <t>联系方式</t>
    <phoneticPr fontId="1" type="noConversion"/>
  </si>
  <si>
    <t>姓名或昵称</t>
    <phoneticPr fontId="1" type="noConversion"/>
  </si>
  <si>
    <t>STEP 1
填写基本信息</t>
    <phoneticPr fontId="1" type="noConversion"/>
  </si>
  <si>
    <t>pama</t>
    <phoneticPr fontId="1" type="noConversion"/>
  </si>
  <si>
    <t>zyc</t>
    <phoneticPr fontId="1" type="noConversion"/>
  </si>
  <si>
    <t>tengwei</t>
    <phoneticPr fontId="1" type="noConversion"/>
  </si>
  <si>
    <t>lijunxian</t>
    <phoneticPr fontId="1" type="noConversion"/>
  </si>
  <si>
    <t>huanglaoban</t>
    <phoneticPr fontId="1" type="noConversion"/>
  </si>
  <si>
    <t>00后</t>
    <phoneticPr fontId="1" type="noConversion"/>
  </si>
  <si>
    <t>徐振yu</t>
    <phoneticPr fontId="1" type="noConversion"/>
  </si>
  <si>
    <t>yier</t>
    <phoneticPr fontId="1" type="noConversion"/>
  </si>
  <si>
    <t>cbq</t>
    <phoneticPr fontId="1" type="noConversion"/>
  </si>
  <si>
    <t>User1</t>
    <phoneticPr fontId="1" type="noConversion"/>
  </si>
  <si>
    <t>User2</t>
    <phoneticPr fontId="1" type="noConversion"/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</si>
  <si>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</si>
  <si>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</si>
  <si>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</si>
  <si>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</si>
  <si>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</si>
  <si>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</si>
  <si>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</si>
  <si>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</si>
  <si>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</si>
  <si>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</si>
  <si>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</si>
  <si>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</si>
  <si>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</si>
  <si>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手机 / 微信 / 邮箱 均可</t>
  </si>
  <si>
    <t>也可以是大致年龄段：如90后，00后</t>
  </si>
  <si>
    <t>梅烨伟</t>
    <phoneticPr fontId="1" type="noConversion"/>
  </si>
  <si>
    <t>serial</t>
    <phoneticPr fontId="1" type="noConversion"/>
  </si>
  <si>
    <t>ln serial</t>
    <phoneticPr fontId="1" type="noConversion"/>
  </si>
  <si>
    <t>User15</t>
    <phoneticPr fontId="1" type="noConversion"/>
  </si>
  <si>
    <t>predict</t>
    <phoneticPr fontId="1" type="noConversion"/>
  </si>
  <si>
    <t>persec</t>
    <phoneticPr fontId="1" type="noConversion"/>
  </si>
  <si>
    <t>Number Input</t>
    <phoneticPr fontId="1" type="noConversion"/>
  </si>
  <si>
    <t>Option Input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</si>
</sst>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0" tint="-0.499984740745262"/>
      <name val="等线"/>
      <family val="4"/>
      <charset val="134"/>
      <scheme val="minor"/>
    </font>
    <font>
      <sz val="12"/>
      <color theme="0" tint="-0.499984740745262"/>
      <name val="等线"/>
      <family val="2"/>
      <charset val="134"/>
      <scheme val="minor"/>
    </font>
    <font>
      <sz val="12"/>
      <color rgb="FF808080"/>
      <name val="等线"/>
      <family val="4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41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0" borderId="13" xfId="1" applyBorder="1">
      <alignment vertical="center"/>
    </xf>
    <xf numFmtId="0" fontId="3" fillId="0" borderId="12" xfId="1" applyBorder="1">
      <alignment vertical="center"/>
    </xf>
    <xf numFmtId="0" fontId="3" fillId="0" borderId="20" xfId="1" applyBorder="1">
      <alignment vertical="center"/>
    </xf>
    <xf numFmtId="0" fontId="3" fillId="0" borderId="11" xfId="1" applyBorder="1">
      <alignment vertical="center"/>
    </xf>
    <xf numFmtId="0" fontId="3" fillId="0" borderId="10" xfId="1" applyBorder="1">
      <alignment vertical="center"/>
    </xf>
    <xf numFmtId="0" fontId="3" fillId="0" borderId="26" xfId="1" applyBorder="1">
      <alignment vertical="center"/>
    </xf>
    <xf numFmtId="0" fontId="0" fillId="0" borderId="20" xfId="0" applyBorder="1">
      <alignment vertical="center"/>
    </xf>
    <xf numFmtId="0" fontId="0" fillId="0" borderId="26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37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14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36" xfId="1" applyBorder="1" applyAlignment="1">
      <alignment horizontal="center" vertical="center"/>
    </xf>
    <xf numFmtId="0" fontId="3" fillId="0" borderId="35" xfId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3" fillId="0" borderId="31" xfId="1" applyBorder="1" applyAlignment="1">
      <alignment horizontal="center" vertical="center"/>
    </xf>
    <xf numFmtId="0" fontId="3" fillId="0" borderId="30" xfId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3" fillId="0" borderId="25" xfId="1" applyBorder="1" applyAlignment="1">
      <alignment horizontal="center" vertical="center"/>
    </xf>
    <xf numFmtId="0" fontId="3" fillId="0" borderId="24" xfId="1" applyBorder="1" applyAlignment="1">
      <alignment horizontal="center" vertical="center"/>
    </xf>
    <xf numFmtId="0" fontId="3" fillId="0" borderId="23" xfId="1" applyBorder="1" applyAlignment="1">
      <alignment horizontal="center" vertical="center"/>
    </xf>
    <xf numFmtId="0" fontId="3" fillId="0" borderId="8" xfId="1" applyBorder="1" applyAlignment="1">
      <alignment horizontal="center" vertical="center" wrapText="1"/>
    </xf>
    <xf numFmtId="0" fontId="3" fillId="0" borderId="17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34" xfId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3" fillId="0" borderId="29" xfId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22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3" fillId="0" borderId="5" xfId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</cellXfs>
  <cellStyles count="2">
    <cellStyle name="常规" xfId="0" builtinId="0"/>
    <cellStyle name="常规 2" xfId="1" xr:uid="{9C012948-FF0F-4A43-B71B-2942964AFE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Efficiency of 6-Digit</a:t>
            </a:r>
            <a:r>
              <a:rPr lang="en-US" altLang="zh-CN" baseline="0"/>
              <a:t> Input (Never Clicking "0")</a:t>
            </a:r>
            <a:r>
              <a:rPr lang="en-US" altLang="zh-CN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638589923568868E-2"/>
          <c:y val="0.12569544426208332"/>
          <c:w val="0.92303441269295605"/>
          <c:h val="0.76876903351914494"/>
        </c:manualLayout>
      </c:layout>
      <c:scatterChart>
        <c:scatterStyle val="lineMarker"/>
        <c:varyColors val="0"/>
        <c:ser>
          <c:idx val="0"/>
          <c:order val="0"/>
          <c:tx>
            <c:strRef>
              <c:f>汇总!$A$3</c:f>
              <c:strCache>
                <c:ptCount val="1"/>
                <c:pt idx="0">
                  <c:v>User1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汇总!$B$3:$U$3</c:f>
              <c:numCache>
                <c:formatCode>General</c:formatCode>
                <c:ptCount val="20"/>
                <c:pt idx="0">
                  <c:v>15.3</c:v>
                </c:pt>
                <c:pt idx="1">
                  <c:v>14.4</c:v>
                </c:pt>
                <c:pt idx="2">
                  <c:v>10.7</c:v>
                </c:pt>
                <c:pt idx="3">
                  <c:v>13</c:v>
                </c:pt>
                <c:pt idx="4">
                  <c:v>11.2</c:v>
                </c:pt>
                <c:pt idx="5">
                  <c:v>10.199999999999999</c:v>
                </c:pt>
                <c:pt idx="6">
                  <c:v>11.2</c:v>
                </c:pt>
                <c:pt idx="7">
                  <c:v>10.8</c:v>
                </c:pt>
                <c:pt idx="8">
                  <c:v>11</c:v>
                </c:pt>
                <c:pt idx="9">
                  <c:v>9.3000000000000007</c:v>
                </c:pt>
                <c:pt idx="10">
                  <c:v>10.199999999999999</c:v>
                </c:pt>
                <c:pt idx="11">
                  <c:v>10.4</c:v>
                </c:pt>
                <c:pt idx="12">
                  <c:v>9.8000000000000007</c:v>
                </c:pt>
                <c:pt idx="13">
                  <c:v>11</c:v>
                </c:pt>
                <c:pt idx="14">
                  <c:v>10.199999999999999</c:v>
                </c:pt>
                <c:pt idx="15">
                  <c:v>9.6</c:v>
                </c:pt>
                <c:pt idx="16">
                  <c:v>9.9</c:v>
                </c:pt>
                <c:pt idx="17">
                  <c:v>9.5</c:v>
                </c:pt>
                <c:pt idx="18">
                  <c:v>8</c:v>
                </c:pt>
                <c:pt idx="19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BD-1047-99F5-28F22ACD6BFC}"/>
            </c:ext>
          </c:extLst>
        </c:ser>
        <c:ser>
          <c:idx val="1"/>
          <c:order val="1"/>
          <c:tx>
            <c:strRef>
              <c:f>汇总!$A$4</c:f>
              <c:strCache>
                <c:ptCount val="1"/>
                <c:pt idx="0">
                  <c:v>User2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汇总!$B$4:$U$4</c:f>
              <c:numCache>
                <c:formatCode>General</c:formatCode>
                <c:ptCount val="20"/>
                <c:pt idx="0">
                  <c:v>25.9</c:v>
                </c:pt>
                <c:pt idx="1">
                  <c:v>27.1</c:v>
                </c:pt>
                <c:pt idx="2">
                  <c:v>24.1</c:v>
                </c:pt>
                <c:pt idx="3">
                  <c:v>23.7</c:v>
                </c:pt>
                <c:pt idx="4">
                  <c:v>19.899999999999999</c:v>
                </c:pt>
                <c:pt idx="5">
                  <c:v>21.9</c:v>
                </c:pt>
                <c:pt idx="6">
                  <c:v>17.8</c:v>
                </c:pt>
                <c:pt idx="7">
                  <c:v>19.899999999999999</c:v>
                </c:pt>
                <c:pt idx="8">
                  <c:v>20.9</c:v>
                </c:pt>
                <c:pt idx="9">
                  <c:v>16.399999999999999</c:v>
                </c:pt>
                <c:pt idx="10">
                  <c:v>22.4</c:v>
                </c:pt>
                <c:pt idx="11">
                  <c:v>15</c:v>
                </c:pt>
                <c:pt idx="12">
                  <c:v>15.8</c:v>
                </c:pt>
                <c:pt idx="13">
                  <c:v>15</c:v>
                </c:pt>
                <c:pt idx="14">
                  <c:v>14.4</c:v>
                </c:pt>
                <c:pt idx="15">
                  <c:v>17</c:v>
                </c:pt>
                <c:pt idx="16">
                  <c:v>15.6</c:v>
                </c:pt>
                <c:pt idx="17">
                  <c:v>18.2</c:v>
                </c:pt>
                <c:pt idx="18">
                  <c:v>16.2</c:v>
                </c:pt>
                <c:pt idx="19">
                  <c:v>14.9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BD-1047-99F5-28F22ACD6BFC}"/>
            </c:ext>
          </c:extLst>
        </c:ser>
        <c:ser>
          <c:idx val="2"/>
          <c:order val="2"/>
          <c:tx>
            <c:strRef>
              <c:f>汇总!$A$5</c:f>
              <c:strCache>
                <c:ptCount val="1"/>
                <c:pt idx="0">
                  <c:v>User3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汇总!$B$5:$U$5</c:f>
              <c:numCache>
                <c:formatCode>General</c:formatCode>
                <c:ptCount val="20"/>
                <c:pt idx="0">
                  <c:v>18.2</c:v>
                </c:pt>
                <c:pt idx="1">
                  <c:v>14.4</c:v>
                </c:pt>
                <c:pt idx="2">
                  <c:v>12.7</c:v>
                </c:pt>
                <c:pt idx="3">
                  <c:v>11</c:v>
                </c:pt>
                <c:pt idx="4">
                  <c:v>11.6</c:v>
                </c:pt>
                <c:pt idx="5">
                  <c:v>11.9</c:v>
                </c:pt>
                <c:pt idx="6">
                  <c:v>12.9</c:v>
                </c:pt>
                <c:pt idx="7">
                  <c:v>11.7</c:v>
                </c:pt>
                <c:pt idx="8">
                  <c:v>13.2</c:v>
                </c:pt>
                <c:pt idx="9">
                  <c:v>11</c:v>
                </c:pt>
                <c:pt idx="10">
                  <c:v>12.1</c:v>
                </c:pt>
                <c:pt idx="11">
                  <c:v>16</c:v>
                </c:pt>
                <c:pt idx="12">
                  <c:v>10.8</c:v>
                </c:pt>
                <c:pt idx="13">
                  <c:v>12.1</c:v>
                </c:pt>
                <c:pt idx="14">
                  <c:v>10.5</c:v>
                </c:pt>
                <c:pt idx="15">
                  <c:v>11.6</c:v>
                </c:pt>
                <c:pt idx="16">
                  <c:v>9.9</c:v>
                </c:pt>
                <c:pt idx="17">
                  <c:v>11</c:v>
                </c:pt>
                <c:pt idx="18">
                  <c:v>13.5</c:v>
                </c:pt>
                <c:pt idx="19">
                  <c:v>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BD-1047-99F5-28F22ACD6BFC}"/>
            </c:ext>
          </c:extLst>
        </c:ser>
        <c:ser>
          <c:idx val="3"/>
          <c:order val="3"/>
          <c:tx>
            <c:strRef>
              <c:f>汇总!$A$6</c:f>
              <c:strCache>
                <c:ptCount val="1"/>
                <c:pt idx="0">
                  <c:v>User4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汇总!$B$6:$U$6</c:f>
              <c:numCache>
                <c:formatCode>General</c:formatCode>
                <c:ptCount val="20"/>
                <c:pt idx="0">
                  <c:v>22.9</c:v>
                </c:pt>
                <c:pt idx="1">
                  <c:v>18.7</c:v>
                </c:pt>
                <c:pt idx="2">
                  <c:v>15.2</c:v>
                </c:pt>
                <c:pt idx="3">
                  <c:v>19.7</c:v>
                </c:pt>
                <c:pt idx="4">
                  <c:v>18</c:v>
                </c:pt>
                <c:pt idx="5">
                  <c:v>18.399999999999999</c:v>
                </c:pt>
                <c:pt idx="6">
                  <c:v>20.5</c:v>
                </c:pt>
                <c:pt idx="7">
                  <c:v>21.3</c:v>
                </c:pt>
                <c:pt idx="8">
                  <c:v>19.2</c:v>
                </c:pt>
                <c:pt idx="9">
                  <c:v>14.7</c:v>
                </c:pt>
                <c:pt idx="10">
                  <c:v>15.8</c:v>
                </c:pt>
                <c:pt idx="11">
                  <c:v>15.3</c:v>
                </c:pt>
                <c:pt idx="12">
                  <c:v>15.2</c:v>
                </c:pt>
                <c:pt idx="13">
                  <c:v>14.7</c:v>
                </c:pt>
                <c:pt idx="14">
                  <c:v>14.9</c:v>
                </c:pt>
                <c:pt idx="15">
                  <c:v>18.7</c:v>
                </c:pt>
                <c:pt idx="16">
                  <c:v>21.8</c:v>
                </c:pt>
                <c:pt idx="17">
                  <c:v>14.2</c:v>
                </c:pt>
                <c:pt idx="18">
                  <c:v>16</c:v>
                </c:pt>
                <c:pt idx="19">
                  <c:v>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BD-1047-99F5-28F22ACD6BFC}"/>
            </c:ext>
          </c:extLst>
        </c:ser>
        <c:ser>
          <c:idx val="4"/>
          <c:order val="4"/>
          <c:tx>
            <c:strRef>
              <c:f>汇总!$A$7</c:f>
              <c:strCache>
                <c:ptCount val="1"/>
                <c:pt idx="0">
                  <c:v>User5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汇总!$B$7:$U$7</c:f>
              <c:numCache>
                <c:formatCode>General</c:formatCode>
                <c:ptCount val="20"/>
                <c:pt idx="0">
                  <c:v>18.100000000000001</c:v>
                </c:pt>
                <c:pt idx="1">
                  <c:v>17.2</c:v>
                </c:pt>
                <c:pt idx="2">
                  <c:v>13</c:v>
                </c:pt>
                <c:pt idx="3">
                  <c:v>13</c:v>
                </c:pt>
                <c:pt idx="4">
                  <c:v>13.2</c:v>
                </c:pt>
                <c:pt idx="5">
                  <c:v>16.100000000000001</c:v>
                </c:pt>
                <c:pt idx="6">
                  <c:v>11.9</c:v>
                </c:pt>
                <c:pt idx="7">
                  <c:v>12.2</c:v>
                </c:pt>
                <c:pt idx="8">
                  <c:v>11.6</c:v>
                </c:pt>
                <c:pt idx="9">
                  <c:v>10.8</c:v>
                </c:pt>
                <c:pt idx="10">
                  <c:v>10.7</c:v>
                </c:pt>
                <c:pt idx="11">
                  <c:v>12.3</c:v>
                </c:pt>
                <c:pt idx="12">
                  <c:v>10.1</c:v>
                </c:pt>
                <c:pt idx="13">
                  <c:v>11.9</c:v>
                </c:pt>
                <c:pt idx="14">
                  <c:v>11.2</c:v>
                </c:pt>
                <c:pt idx="15">
                  <c:v>15.1</c:v>
                </c:pt>
                <c:pt idx="16">
                  <c:v>10.6</c:v>
                </c:pt>
                <c:pt idx="17">
                  <c:v>11</c:v>
                </c:pt>
                <c:pt idx="18">
                  <c:v>10.7</c:v>
                </c:pt>
                <c:pt idx="19">
                  <c:v>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6BD-1047-99F5-28F22ACD6BFC}"/>
            </c:ext>
          </c:extLst>
        </c:ser>
        <c:ser>
          <c:idx val="5"/>
          <c:order val="5"/>
          <c:tx>
            <c:strRef>
              <c:f>汇总!$A$8</c:f>
              <c:strCache>
                <c:ptCount val="1"/>
                <c:pt idx="0">
                  <c:v>User6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汇总!$B$8:$U$8</c:f>
              <c:numCache>
                <c:formatCode>General</c:formatCode>
                <c:ptCount val="20"/>
                <c:pt idx="0">
                  <c:v>18.2</c:v>
                </c:pt>
                <c:pt idx="1">
                  <c:v>16.600000000000001</c:v>
                </c:pt>
                <c:pt idx="2">
                  <c:v>15.5</c:v>
                </c:pt>
                <c:pt idx="3">
                  <c:v>18.100000000000001</c:v>
                </c:pt>
                <c:pt idx="4">
                  <c:v>12.1</c:v>
                </c:pt>
                <c:pt idx="5">
                  <c:v>12.8</c:v>
                </c:pt>
                <c:pt idx="6">
                  <c:v>12.3</c:v>
                </c:pt>
                <c:pt idx="7">
                  <c:v>10.6</c:v>
                </c:pt>
                <c:pt idx="8">
                  <c:v>10.4</c:v>
                </c:pt>
                <c:pt idx="9">
                  <c:v>11.3</c:v>
                </c:pt>
                <c:pt idx="10">
                  <c:v>9.6999999999999993</c:v>
                </c:pt>
                <c:pt idx="11">
                  <c:v>9.5</c:v>
                </c:pt>
                <c:pt idx="12">
                  <c:v>10.199999999999999</c:v>
                </c:pt>
                <c:pt idx="13">
                  <c:v>9.6999999999999993</c:v>
                </c:pt>
                <c:pt idx="14">
                  <c:v>10</c:v>
                </c:pt>
                <c:pt idx="15">
                  <c:v>10.9</c:v>
                </c:pt>
                <c:pt idx="16">
                  <c:v>12.1</c:v>
                </c:pt>
                <c:pt idx="17">
                  <c:v>9.4</c:v>
                </c:pt>
                <c:pt idx="18">
                  <c:v>10.1</c:v>
                </c:pt>
                <c:pt idx="19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6BD-1047-99F5-28F22ACD6BFC}"/>
            </c:ext>
          </c:extLst>
        </c:ser>
        <c:ser>
          <c:idx val="6"/>
          <c:order val="6"/>
          <c:tx>
            <c:strRef>
              <c:f>汇总!$A$9</c:f>
              <c:strCache>
                <c:ptCount val="1"/>
                <c:pt idx="0">
                  <c:v>User7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汇总!$B$9:$U$9</c:f>
              <c:numCache>
                <c:formatCode>General</c:formatCode>
                <c:ptCount val="20"/>
                <c:pt idx="0">
                  <c:v>20.5</c:v>
                </c:pt>
                <c:pt idx="1">
                  <c:v>28.3</c:v>
                </c:pt>
                <c:pt idx="2">
                  <c:v>14.5</c:v>
                </c:pt>
                <c:pt idx="3">
                  <c:v>16.100000000000001</c:v>
                </c:pt>
                <c:pt idx="4">
                  <c:v>22.5</c:v>
                </c:pt>
                <c:pt idx="5">
                  <c:v>24.6</c:v>
                </c:pt>
                <c:pt idx="6">
                  <c:v>13.4</c:v>
                </c:pt>
                <c:pt idx="7">
                  <c:v>18.600000000000001</c:v>
                </c:pt>
                <c:pt idx="8">
                  <c:v>21.5</c:v>
                </c:pt>
                <c:pt idx="9">
                  <c:v>15.4</c:v>
                </c:pt>
                <c:pt idx="10">
                  <c:v>17.5</c:v>
                </c:pt>
                <c:pt idx="11">
                  <c:v>20.2</c:v>
                </c:pt>
                <c:pt idx="12">
                  <c:v>15.3</c:v>
                </c:pt>
                <c:pt idx="13">
                  <c:v>14.7</c:v>
                </c:pt>
                <c:pt idx="14">
                  <c:v>19.600000000000001</c:v>
                </c:pt>
                <c:pt idx="15">
                  <c:v>13.8</c:v>
                </c:pt>
                <c:pt idx="16">
                  <c:v>16</c:v>
                </c:pt>
                <c:pt idx="17">
                  <c:v>15</c:v>
                </c:pt>
                <c:pt idx="18">
                  <c:v>17.899999999999999</c:v>
                </c:pt>
                <c:pt idx="19">
                  <c:v>14.3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6BD-1047-99F5-28F22ACD6BFC}"/>
            </c:ext>
          </c:extLst>
        </c:ser>
        <c:ser>
          <c:idx val="7"/>
          <c:order val="7"/>
          <c:tx>
            <c:strRef>
              <c:f>汇总!$A$10</c:f>
              <c:strCache>
                <c:ptCount val="1"/>
                <c:pt idx="0">
                  <c:v>User8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汇总!$B$10:$U$10</c:f>
              <c:numCache>
                <c:formatCode>General</c:formatCode>
                <c:ptCount val="20"/>
                <c:pt idx="0">
                  <c:v>21</c:v>
                </c:pt>
                <c:pt idx="1">
                  <c:v>23.2</c:v>
                </c:pt>
                <c:pt idx="2">
                  <c:v>20</c:v>
                </c:pt>
                <c:pt idx="3">
                  <c:v>17.2</c:v>
                </c:pt>
                <c:pt idx="4">
                  <c:v>17.7</c:v>
                </c:pt>
                <c:pt idx="5">
                  <c:v>24.3</c:v>
                </c:pt>
                <c:pt idx="6">
                  <c:v>18</c:v>
                </c:pt>
                <c:pt idx="7">
                  <c:v>19.2</c:v>
                </c:pt>
                <c:pt idx="8">
                  <c:v>17.7</c:v>
                </c:pt>
                <c:pt idx="9">
                  <c:v>18.600000000000001</c:v>
                </c:pt>
                <c:pt idx="10">
                  <c:v>17.8</c:v>
                </c:pt>
                <c:pt idx="11">
                  <c:v>20.399999999999999</c:v>
                </c:pt>
                <c:pt idx="12">
                  <c:v>16.399999999999999</c:v>
                </c:pt>
                <c:pt idx="13">
                  <c:v>18.2</c:v>
                </c:pt>
                <c:pt idx="14">
                  <c:v>17.5</c:v>
                </c:pt>
                <c:pt idx="15">
                  <c:v>17.399999999999999</c:v>
                </c:pt>
                <c:pt idx="16">
                  <c:v>18.2</c:v>
                </c:pt>
                <c:pt idx="17">
                  <c:v>16.899999999999999</c:v>
                </c:pt>
                <c:pt idx="18">
                  <c:v>16.899999999999999</c:v>
                </c:pt>
                <c:pt idx="19">
                  <c:v>17.899999999999999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6BD-1047-99F5-28F22ACD6BFC}"/>
            </c:ext>
          </c:extLst>
        </c:ser>
        <c:ser>
          <c:idx val="8"/>
          <c:order val="8"/>
          <c:tx>
            <c:strRef>
              <c:f>汇总!$A$11</c:f>
              <c:strCache>
                <c:ptCount val="1"/>
                <c:pt idx="0">
                  <c:v>User9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汇总!$B$11:$U$11</c:f>
              <c:numCache>
                <c:formatCode>General</c:formatCode>
                <c:ptCount val="20"/>
                <c:pt idx="0">
                  <c:v>17.600000000000001</c:v>
                </c:pt>
                <c:pt idx="1">
                  <c:v>17.3</c:v>
                </c:pt>
                <c:pt idx="2">
                  <c:v>13.7</c:v>
                </c:pt>
                <c:pt idx="3">
                  <c:v>15.9</c:v>
                </c:pt>
                <c:pt idx="4">
                  <c:v>12.8</c:v>
                </c:pt>
                <c:pt idx="5">
                  <c:v>16.3</c:v>
                </c:pt>
                <c:pt idx="6">
                  <c:v>16.899999999999999</c:v>
                </c:pt>
                <c:pt idx="7">
                  <c:v>14.4</c:v>
                </c:pt>
                <c:pt idx="8">
                  <c:v>15.4</c:v>
                </c:pt>
                <c:pt idx="9">
                  <c:v>13.1</c:v>
                </c:pt>
                <c:pt idx="10">
                  <c:v>13</c:v>
                </c:pt>
                <c:pt idx="11">
                  <c:v>11.3</c:v>
                </c:pt>
                <c:pt idx="12">
                  <c:v>13.9</c:v>
                </c:pt>
                <c:pt idx="13">
                  <c:v>12.3</c:v>
                </c:pt>
                <c:pt idx="14">
                  <c:v>16.399999999999999</c:v>
                </c:pt>
                <c:pt idx="15">
                  <c:v>10.1</c:v>
                </c:pt>
                <c:pt idx="16">
                  <c:v>13.5</c:v>
                </c:pt>
                <c:pt idx="17">
                  <c:v>14</c:v>
                </c:pt>
                <c:pt idx="18">
                  <c:v>12.5</c:v>
                </c:pt>
                <c:pt idx="19">
                  <c:v>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6BD-1047-99F5-28F22ACD6BFC}"/>
            </c:ext>
          </c:extLst>
        </c:ser>
        <c:ser>
          <c:idx val="9"/>
          <c:order val="9"/>
          <c:tx>
            <c:strRef>
              <c:f>汇总!$A$12</c:f>
              <c:strCache>
                <c:ptCount val="1"/>
                <c:pt idx="0">
                  <c:v>User10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汇总!$B$12:$U$12</c:f>
              <c:numCache>
                <c:formatCode>General</c:formatCode>
                <c:ptCount val="20"/>
                <c:pt idx="0">
                  <c:v>23.6</c:v>
                </c:pt>
                <c:pt idx="1">
                  <c:v>22.2</c:v>
                </c:pt>
                <c:pt idx="2">
                  <c:v>18.600000000000001</c:v>
                </c:pt>
                <c:pt idx="3">
                  <c:v>22</c:v>
                </c:pt>
                <c:pt idx="4">
                  <c:v>18.5</c:v>
                </c:pt>
                <c:pt idx="5">
                  <c:v>15.3</c:v>
                </c:pt>
                <c:pt idx="6">
                  <c:v>18.7</c:v>
                </c:pt>
                <c:pt idx="7">
                  <c:v>15.6</c:v>
                </c:pt>
                <c:pt idx="8">
                  <c:v>16.2</c:v>
                </c:pt>
                <c:pt idx="9">
                  <c:v>17.7</c:v>
                </c:pt>
                <c:pt idx="10">
                  <c:v>14.1</c:v>
                </c:pt>
                <c:pt idx="11">
                  <c:v>14.1</c:v>
                </c:pt>
                <c:pt idx="12">
                  <c:v>15.7</c:v>
                </c:pt>
                <c:pt idx="13">
                  <c:v>14.1</c:v>
                </c:pt>
                <c:pt idx="14">
                  <c:v>12.4</c:v>
                </c:pt>
                <c:pt idx="15">
                  <c:v>14.2</c:v>
                </c:pt>
                <c:pt idx="16">
                  <c:v>11.9</c:v>
                </c:pt>
                <c:pt idx="17">
                  <c:v>13.3</c:v>
                </c:pt>
                <c:pt idx="18">
                  <c:v>12.5</c:v>
                </c:pt>
                <c:pt idx="1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6BD-1047-99F5-28F22ACD6BFC}"/>
            </c:ext>
          </c:extLst>
        </c:ser>
        <c:ser>
          <c:idx val="10"/>
          <c:order val="10"/>
          <c:tx>
            <c:strRef>
              <c:f>汇总!$A$13</c:f>
              <c:strCache>
                <c:ptCount val="1"/>
                <c:pt idx="0">
                  <c:v>User11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汇总!$B$13:$U$13</c:f>
              <c:numCache>
                <c:formatCode>General</c:formatCode>
                <c:ptCount val="20"/>
                <c:pt idx="0">
                  <c:v>20.100000000000001</c:v>
                </c:pt>
                <c:pt idx="1">
                  <c:v>20.399999999999999</c:v>
                </c:pt>
                <c:pt idx="2">
                  <c:v>19.100000000000001</c:v>
                </c:pt>
                <c:pt idx="3">
                  <c:v>17.3</c:v>
                </c:pt>
                <c:pt idx="4">
                  <c:v>22</c:v>
                </c:pt>
                <c:pt idx="5">
                  <c:v>21</c:v>
                </c:pt>
                <c:pt idx="6">
                  <c:v>19</c:v>
                </c:pt>
                <c:pt idx="7">
                  <c:v>17.399999999999999</c:v>
                </c:pt>
                <c:pt idx="8">
                  <c:v>22.8</c:v>
                </c:pt>
                <c:pt idx="9">
                  <c:v>15.8</c:v>
                </c:pt>
                <c:pt idx="10">
                  <c:v>16.7</c:v>
                </c:pt>
                <c:pt idx="11">
                  <c:v>20.5</c:v>
                </c:pt>
                <c:pt idx="12">
                  <c:v>18.399999999999999</c:v>
                </c:pt>
                <c:pt idx="13">
                  <c:v>16.7</c:v>
                </c:pt>
                <c:pt idx="14">
                  <c:v>17.5</c:v>
                </c:pt>
                <c:pt idx="15">
                  <c:v>16.7</c:v>
                </c:pt>
                <c:pt idx="16">
                  <c:v>18.899999999999999</c:v>
                </c:pt>
                <c:pt idx="17">
                  <c:v>15.5</c:v>
                </c:pt>
                <c:pt idx="18">
                  <c:v>16.2</c:v>
                </c:pt>
                <c:pt idx="19">
                  <c:v>17.100000000000001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6BD-1047-99F5-28F22ACD6BFC}"/>
            </c:ext>
          </c:extLst>
        </c:ser>
        <c:ser>
          <c:idx val="11"/>
          <c:order val="11"/>
          <c:tx>
            <c:strRef>
              <c:f>汇总!$A$14</c:f>
              <c:strCache>
                <c:ptCount val="1"/>
                <c:pt idx="0">
                  <c:v>User12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汇总!$B$14:$U$14</c:f>
              <c:numCache>
                <c:formatCode>General</c:formatCode>
                <c:ptCount val="20"/>
                <c:pt idx="0">
                  <c:v>28</c:v>
                </c:pt>
                <c:pt idx="1">
                  <c:v>23.9</c:v>
                </c:pt>
                <c:pt idx="2">
                  <c:v>23.7</c:v>
                </c:pt>
                <c:pt idx="3">
                  <c:v>25.5</c:v>
                </c:pt>
                <c:pt idx="4">
                  <c:v>19.2</c:v>
                </c:pt>
                <c:pt idx="5">
                  <c:v>19.100000000000001</c:v>
                </c:pt>
                <c:pt idx="6">
                  <c:v>20.100000000000001</c:v>
                </c:pt>
                <c:pt idx="7">
                  <c:v>21.2</c:v>
                </c:pt>
                <c:pt idx="8">
                  <c:v>20.2</c:v>
                </c:pt>
                <c:pt idx="9">
                  <c:v>20.399999999999999</c:v>
                </c:pt>
                <c:pt idx="10">
                  <c:v>19.7</c:v>
                </c:pt>
                <c:pt idx="11">
                  <c:v>20.7</c:v>
                </c:pt>
                <c:pt idx="12">
                  <c:v>22.3</c:v>
                </c:pt>
                <c:pt idx="13">
                  <c:v>18.3</c:v>
                </c:pt>
                <c:pt idx="14">
                  <c:v>16.899999999999999</c:v>
                </c:pt>
                <c:pt idx="15">
                  <c:v>16.899999999999999</c:v>
                </c:pt>
                <c:pt idx="16">
                  <c:v>15.6</c:v>
                </c:pt>
                <c:pt idx="17">
                  <c:v>15.2</c:v>
                </c:pt>
                <c:pt idx="18">
                  <c:v>13.2</c:v>
                </c:pt>
                <c:pt idx="1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6BD-1047-99F5-28F22ACD6BFC}"/>
            </c:ext>
          </c:extLst>
        </c:ser>
        <c:ser>
          <c:idx val="12"/>
          <c:order val="12"/>
          <c:tx>
            <c:strRef>
              <c:f>汇总!$A$15</c:f>
              <c:strCache>
                <c:ptCount val="1"/>
                <c:pt idx="0">
                  <c:v>User13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汇总!$B$15:$U$15</c:f>
              <c:numCache>
                <c:formatCode>General</c:formatCode>
                <c:ptCount val="20"/>
                <c:pt idx="0">
                  <c:v>26</c:v>
                </c:pt>
                <c:pt idx="1">
                  <c:v>21</c:v>
                </c:pt>
                <c:pt idx="2">
                  <c:v>15.7</c:v>
                </c:pt>
                <c:pt idx="3">
                  <c:v>24</c:v>
                </c:pt>
                <c:pt idx="4">
                  <c:v>23.1</c:v>
                </c:pt>
                <c:pt idx="5">
                  <c:v>21.7</c:v>
                </c:pt>
                <c:pt idx="6">
                  <c:v>21.4</c:v>
                </c:pt>
                <c:pt idx="7">
                  <c:v>19.2</c:v>
                </c:pt>
                <c:pt idx="8">
                  <c:v>17.100000000000001</c:v>
                </c:pt>
                <c:pt idx="9">
                  <c:v>18.399999999999999</c:v>
                </c:pt>
                <c:pt idx="10">
                  <c:v>18.7</c:v>
                </c:pt>
                <c:pt idx="11">
                  <c:v>16.399999999999999</c:v>
                </c:pt>
                <c:pt idx="12">
                  <c:v>15.5</c:v>
                </c:pt>
                <c:pt idx="13">
                  <c:v>17.3</c:v>
                </c:pt>
                <c:pt idx="14">
                  <c:v>18.600000000000001</c:v>
                </c:pt>
                <c:pt idx="15">
                  <c:v>17</c:v>
                </c:pt>
                <c:pt idx="16">
                  <c:v>15.5</c:v>
                </c:pt>
                <c:pt idx="17">
                  <c:v>16.2</c:v>
                </c:pt>
                <c:pt idx="18">
                  <c:v>16.2</c:v>
                </c:pt>
                <c:pt idx="19">
                  <c:v>15.6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6BD-1047-99F5-28F22ACD6BFC}"/>
            </c:ext>
          </c:extLst>
        </c:ser>
        <c:ser>
          <c:idx val="13"/>
          <c:order val="13"/>
          <c:tx>
            <c:strRef>
              <c:f>汇总!$A$16</c:f>
              <c:strCache>
                <c:ptCount val="1"/>
                <c:pt idx="0">
                  <c:v>User14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汇总!$B$16:$U$16</c:f>
              <c:numCache>
                <c:formatCode>General</c:formatCode>
                <c:ptCount val="20"/>
                <c:pt idx="0">
                  <c:v>20.3</c:v>
                </c:pt>
                <c:pt idx="1">
                  <c:v>22.9</c:v>
                </c:pt>
                <c:pt idx="2">
                  <c:v>18.3</c:v>
                </c:pt>
                <c:pt idx="3">
                  <c:v>18.2</c:v>
                </c:pt>
                <c:pt idx="4">
                  <c:v>18.899999999999999</c:v>
                </c:pt>
                <c:pt idx="5">
                  <c:v>13.8</c:v>
                </c:pt>
                <c:pt idx="6">
                  <c:v>14.1</c:v>
                </c:pt>
                <c:pt idx="7">
                  <c:v>24.1</c:v>
                </c:pt>
                <c:pt idx="8">
                  <c:v>14.3</c:v>
                </c:pt>
                <c:pt idx="9">
                  <c:v>15.6</c:v>
                </c:pt>
                <c:pt idx="10">
                  <c:v>17.600000000000001</c:v>
                </c:pt>
                <c:pt idx="11">
                  <c:v>23.2</c:v>
                </c:pt>
                <c:pt idx="12">
                  <c:v>15.8</c:v>
                </c:pt>
                <c:pt idx="13">
                  <c:v>15.3</c:v>
                </c:pt>
                <c:pt idx="14">
                  <c:v>17.100000000000001</c:v>
                </c:pt>
                <c:pt idx="15">
                  <c:v>14.4</c:v>
                </c:pt>
                <c:pt idx="16">
                  <c:v>15.9</c:v>
                </c:pt>
                <c:pt idx="17">
                  <c:v>14.3</c:v>
                </c:pt>
                <c:pt idx="18">
                  <c:v>16.8</c:v>
                </c:pt>
                <c:pt idx="19">
                  <c:v>16.100000000000001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6BD-1047-99F5-28F22ACD6BFC}"/>
            </c:ext>
          </c:extLst>
        </c:ser>
        <c:ser>
          <c:idx val="14"/>
          <c:order val="14"/>
          <c:tx>
            <c:strRef>
              <c:f>汇总!$A$17</c:f>
              <c:strCache>
                <c:ptCount val="1"/>
                <c:pt idx="0">
                  <c:v>User15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汇总!$B$17:$U$17</c:f>
              <c:numCache>
                <c:formatCode>General</c:formatCode>
                <c:ptCount val="20"/>
                <c:pt idx="0">
                  <c:v>31.1</c:v>
                </c:pt>
                <c:pt idx="1">
                  <c:v>27</c:v>
                </c:pt>
                <c:pt idx="2">
                  <c:v>22.4</c:v>
                </c:pt>
                <c:pt idx="3">
                  <c:v>25.8</c:v>
                </c:pt>
                <c:pt idx="4">
                  <c:v>26.1</c:v>
                </c:pt>
                <c:pt idx="5">
                  <c:v>21.2</c:v>
                </c:pt>
                <c:pt idx="6">
                  <c:v>19.8</c:v>
                </c:pt>
                <c:pt idx="7">
                  <c:v>20</c:v>
                </c:pt>
                <c:pt idx="8">
                  <c:v>22.9</c:v>
                </c:pt>
                <c:pt idx="9">
                  <c:v>17.2</c:v>
                </c:pt>
                <c:pt idx="10">
                  <c:v>16.5</c:v>
                </c:pt>
                <c:pt idx="11">
                  <c:v>24.4</c:v>
                </c:pt>
                <c:pt idx="12">
                  <c:v>17</c:v>
                </c:pt>
                <c:pt idx="13">
                  <c:v>17.3</c:v>
                </c:pt>
                <c:pt idx="14">
                  <c:v>19.399999999999999</c:v>
                </c:pt>
                <c:pt idx="15">
                  <c:v>18.899999999999999</c:v>
                </c:pt>
                <c:pt idx="16">
                  <c:v>18.899999999999999</c:v>
                </c:pt>
                <c:pt idx="17">
                  <c:v>17</c:v>
                </c:pt>
                <c:pt idx="18">
                  <c:v>20.100000000000001</c:v>
                </c:pt>
                <c:pt idx="19">
                  <c:v>19.2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6BD-1047-99F5-28F22ACD6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084943"/>
        <c:axId val="1726122735"/>
      </c:scatterChart>
      <c:valAx>
        <c:axId val="1726084943"/>
        <c:scaling>
          <c:orientation val="minMax"/>
          <c:max val="20"/>
          <c:min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122735"/>
        <c:crosses val="autoZero"/>
        <c:crossBetween val="midCat"/>
        <c:majorUnit val="1"/>
      </c:valAx>
      <c:valAx>
        <c:axId val="1726122735"/>
        <c:scaling>
          <c:orientation val="minMax"/>
          <c:max val="32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084943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49805871731916901"/>
          <c:y val="0.14796408602702388"/>
          <c:w val="0.47074900825017801"/>
          <c:h val="0.15703465193511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Efficiency of 4-Option Input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94958468751973E-2"/>
          <c:y val="0.1242902096915305"/>
          <c:w val="0.91914590453576595"/>
          <c:h val="0.767653035306070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'汇总 (2)'!$A$3</c:f>
              <c:strCache>
                <c:ptCount val="1"/>
                <c:pt idx="0">
                  <c:v>User1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(2)'!$B$3:$K$3</c:f>
              <c:numCache>
                <c:formatCode>General</c:formatCode>
                <c:ptCount val="10"/>
                <c:pt idx="0">
                  <c:v>8.9</c:v>
                </c:pt>
                <c:pt idx="1">
                  <c:v>6.7</c:v>
                </c:pt>
                <c:pt idx="2">
                  <c:v>4.7</c:v>
                </c:pt>
                <c:pt idx="3">
                  <c:v>5.5</c:v>
                </c:pt>
                <c:pt idx="4">
                  <c:v>5.0999999999999996</c:v>
                </c:pt>
                <c:pt idx="5">
                  <c:v>4.4000000000000004</c:v>
                </c:pt>
                <c:pt idx="6">
                  <c:v>5.9</c:v>
                </c:pt>
                <c:pt idx="7">
                  <c:v>6.9</c:v>
                </c:pt>
                <c:pt idx="8">
                  <c:v>4.8</c:v>
                </c:pt>
                <c:pt idx="9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E-2D4E-8D5C-1578EFB7E254}"/>
            </c:ext>
          </c:extLst>
        </c:ser>
        <c:ser>
          <c:idx val="1"/>
          <c:order val="1"/>
          <c:tx>
            <c:strRef>
              <c:f>'汇总 (2)'!$A$4</c:f>
              <c:strCache>
                <c:ptCount val="1"/>
                <c:pt idx="0">
                  <c:v>User2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(2)'!$B$4:$K$4</c:f>
              <c:numCache>
                <c:formatCode>General</c:formatCode>
                <c:ptCount val="10"/>
                <c:pt idx="0">
                  <c:v>7.1</c:v>
                </c:pt>
                <c:pt idx="1">
                  <c:v>6.3</c:v>
                </c:pt>
                <c:pt idx="2">
                  <c:v>6.3</c:v>
                </c:pt>
                <c:pt idx="3">
                  <c:v>8.1</c:v>
                </c:pt>
                <c:pt idx="4">
                  <c:v>7.4</c:v>
                </c:pt>
                <c:pt idx="5">
                  <c:v>5.7</c:v>
                </c:pt>
                <c:pt idx="6">
                  <c:v>6.3</c:v>
                </c:pt>
                <c:pt idx="7">
                  <c:v>5.4</c:v>
                </c:pt>
                <c:pt idx="8">
                  <c:v>7.4</c:v>
                </c:pt>
                <c:pt idx="9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1E-2D4E-8D5C-1578EFB7E254}"/>
            </c:ext>
          </c:extLst>
        </c:ser>
        <c:ser>
          <c:idx val="2"/>
          <c:order val="2"/>
          <c:tx>
            <c:strRef>
              <c:f>'汇总 (2)'!$A$5</c:f>
              <c:strCache>
                <c:ptCount val="1"/>
                <c:pt idx="0">
                  <c:v>User3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(2)'!$B$5:$K$5</c:f>
              <c:numCache>
                <c:formatCode>General</c:formatCode>
                <c:ptCount val="10"/>
                <c:pt idx="0">
                  <c:v>13.8</c:v>
                </c:pt>
                <c:pt idx="1">
                  <c:v>14.2</c:v>
                </c:pt>
                <c:pt idx="2">
                  <c:v>12.6</c:v>
                </c:pt>
                <c:pt idx="3">
                  <c:v>8.1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12.2</c:v>
                </c:pt>
                <c:pt idx="8">
                  <c:v>8.1</c:v>
                </c:pt>
                <c:pt idx="9">
                  <c:v>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1E-2D4E-8D5C-1578EFB7E254}"/>
            </c:ext>
          </c:extLst>
        </c:ser>
        <c:ser>
          <c:idx val="3"/>
          <c:order val="3"/>
          <c:tx>
            <c:strRef>
              <c:f>'汇总 (2)'!$A$6</c:f>
              <c:strCache>
                <c:ptCount val="1"/>
                <c:pt idx="0">
                  <c:v>User4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(2)'!$B$6:$K$6</c:f>
              <c:numCache>
                <c:formatCode>General</c:formatCode>
                <c:ptCount val="10"/>
                <c:pt idx="0">
                  <c:v>11.1</c:v>
                </c:pt>
                <c:pt idx="1">
                  <c:v>9.8000000000000007</c:v>
                </c:pt>
                <c:pt idx="2">
                  <c:v>7.4</c:v>
                </c:pt>
                <c:pt idx="3">
                  <c:v>7.3</c:v>
                </c:pt>
                <c:pt idx="4">
                  <c:v>7.8</c:v>
                </c:pt>
                <c:pt idx="5">
                  <c:v>4.9000000000000004</c:v>
                </c:pt>
                <c:pt idx="6">
                  <c:v>6.9</c:v>
                </c:pt>
                <c:pt idx="7">
                  <c:v>5.2</c:v>
                </c:pt>
                <c:pt idx="8">
                  <c:v>5.6</c:v>
                </c:pt>
                <c:pt idx="9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1E-2D4E-8D5C-1578EFB7E254}"/>
            </c:ext>
          </c:extLst>
        </c:ser>
        <c:ser>
          <c:idx val="4"/>
          <c:order val="4"/>
          <c:tx>
            <c:strRef>
              <c:f>'汇总 (2)'!$A$7</c:f>
              <c:strCache>
                <c:ptCount val="1"/>
                <c:pt idx="0">
                  <c:v>User5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(2)'!$B$7:$K$7</c:f>
              <c:numCache>
                <c:formatCode>General</c:formatCode>
                <c:ptCount val="10"/>
                <c:pt idx="0">
                  <c:v>12.1</c:v>
                </c:pt>
                <c:pt idx="1">
                  <c:v>10.6</c:v>
                </c:pt>
                <c:pt idx="2">
                  <c:v>13.6</c:v>
                </c:pt>
                <c:pt idx="3">
                  <c:v>9.1999999999999993</c:v>
                </c:pt>
                <c:pt idx="4">
                  <c:v>8.3000000000000007</c:v>
                </c:pt>
                <c:pt idx="5">
                  <c:v>8.5</c:v>
                </c:pt>
                <c:pt idx="6">
                  <c:v>12.3</c:v>
                </c:pt>
                <c:pt idx="7">
                  <c:v>7</c:v>
                </c:pt>
                <c:pt idx="8">
                  <c:v>6.4</c:v>
                </c:pt>
                <c:pt idx="9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F1E-2D4E-8D5C-1578EFB7E254}"/>
            </c:ext>
          </c:extLst>
        </c:ser>
        <c:ser>
          <c:idx val="5"/>
          <c:order val="5"/>
          <c:tx>
            <c:strRef>
              <c:f>'汇总 (2)'!$A$8</c:f>
              <c:strCache>
                <c:ptCount val="1"/>
                <c:pt idx="0">
                  <c:v>User6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(2)'!$B$8:$K$8</c:f>
              <c:numCache>
                <c:formatCode>General</c:formatCode>
                <c:ptCount val="10"/>
                <c:pt idx="0">
                  <c:v>9.4</c:v>
                </c:pt>
                <c:pt idx="1">
                  <c:v>8.8000000000000007</c:v>
                </c:pt>
                <c:pt idx="2">
                  <c:v>7.6</c:v>
                </c:pt>
                <c:pt idx="3">
                  <c:v>7.2</c:v>
                </c:pt>
                <c:pt idx="4">
                  <c:v>6.4</c:v>
                </c:pt>
                <c:pt idx="5">
                  <c:v>8</c:v>
                </c:pt>
                <c:pt idx="6">
                  <c:v>6.8</c:v>
                </c:pt>
                <c:pt idx="7">
                  <c:v>9.1999999999999993</c:v>
                </c:pt>
                <c:pt idx="8">
                  <c:v>7.1</c:v>
                </c:pt>
                <c:pt idx="9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F1E-2D4E-8D5C-1578EFB7E254}"/>
            </c:ext>
          </c:extLst>
        </c:ser>
        <c:ser>
          <c:idx val="6"/>
          <c:order val="6"/>
          <c:tx>
            <c:strRef>
              <c:f>'汇总 (2)'!$A$9</c:f>
              <c:strCache>
                <c:ptCount val="1"/>
                <c:pt idx="0">
                  <c:v>User7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(2)'!$B$9:$K$9</c:f>
              <c:numCache>
                <c:formatCode>General</c:formatCode>
                <c:ptCount val="10"/>
                <c:pt idx="0">
                  <c:v>16.100000000000001</c:v>
                </c:pt>
                <c:pt idx="1">
                  <c:v>12</c:v>
                </c:pt>
                <c:pt idx="2">
                  <c:v>11.6</c:v>
                </c:pt>
                <c:pt idx="3">
                  <c:v>11.8</c:v>
                </c:pt>
                <c:pt idx="4">
                  <c:v>9.6999999999999993</c:v>
                </c:pt>
                <c:pt idx="5">
                  <c:v>8.6999999999999993</c:v>
                </c:pt>
                <c:pt idx="6">
                  <c:v>11.3</c:v>
                </c:pt>
                <c:pt idx="7">
                  <c:v>7.1</c:v>
                </c:pt>
                <c:pt idx="8">
                  <c:v>8.4</c:v>
                </c:pt>
                <c:pt idx="9">
                  <c:v>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F1E-2D4E-8D5C-1578EFB7E254}"/>
            </c:ext>
          </c:extLst>
        </c:ser>
        <c:ser>
          <c:idx val="7"/>
          <c:order val="7"/>
          <c:tx>
            <c:strRef>
              <c:f>'汇总 (2)'!$A$10</c:f>
              <c:strCache>
                <c:ptCount val="1"/>
                <c:pt idx="0">
                  <c:v>User8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(2)'!$B$10:$K$10</c:f>
              <c:numCache>
                <c:formatCode>General</c:formatCode>
                <c:ptCount val="10"/>
                <c:pt idx="0">
                  <c:v>10.1</c:v>
                </c:pt>
                <c:pt idx="1">
                  <c:v>7.6</c:v>
                </c:pt>
                <c:pt idx="2">
                  <c:v>8.6999999999999993</c:v>
                </c:pt>
                <c:pt idx="3">
                  <c:v>11</c:v>
                </c:pt>
                <c:pt idx="4">
                  <c:v>9.9</c:v>
                </c:pt>
                <c:pt idx="5">
                  <c:v>8.6</c:v>
                </c:pt>
                <c:pt idx="6">
                  <c:v>7</c:v>
                </c:pt>
                <c:pt idx="7">
                  <c:v>7.3</c:v>
                </c:pt>
                <c:pt idx="8">
                  <c:v>8.1</c:v>
                </c:pt>
                <c:pt idx="9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F1E-2D4E-8D5C-1578EFB7E254}"/>
            </c:ext>
          </c:extLst>
        </c:ser>
        <c:ser>
          <c:idx val="8"/>
          <c:order val="8"/>
          <c:tx>
            <c:strRef>
              <c:f>'汇总 (2)'!$A$11</c:f>
              <c:strCache>
                <c:ptCount val="1"/>
                <c:pt idx="0">
                  <c:v>User9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(2)'!$B$11:$K$11</c:f>
              <c:numCache>
                <c:formatCode>General</c:formatCode>
                <c:ptCount val="10"/>
                <c:pt idx="0">
                  <c:v>7.4</c:v>
                </c:pt>
                <c:pt idx="1">
                  <c:v>8.6</c:v>
                </c:pt>
                <c:pt idx="2">
                  <c:v>8.1999999999999993</c:v>
                </c:pt>
                <c:pt idx="3">
                  <c:v>7</c:v>
                </c:pt>
                <c:pt idx="4">
                  <c:v>6.6</c:v>
                </c:pt>
                <c:pt idx="5">
                  <c:v>7.7</c:v>
                </c:pt>
                <c:pt idx="6">
                  <c:v>8.6999999999999993</c:v>
                </c:pt>
                <c:pt idx="7">
                  <c:v>8.1</c:v>
                </c:pt>
                <c:pt idx="8">
                  <c:v>9.1</c:v>
                </c:pt>
                <c:pt idx="9">
                  <c:v>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F1E-2D4E-8D5C-1578EFB7E254}"/>
            </c:ext>
          </c:extLst>
        </c:ser>
        <c:ser>
          <c:idx val="9"/>
          <c:order val="9"/>
          <c:tx>
            <c:strRef>
              <c:f>'汇总 (2)'!$A$12</c:f>
              <c:strCache>
                <c:ptCount val="1"/>
                <c:pt idx="0">
                  <c:v>User10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(2)'!$B$12:$K$12</c:f>
              <c:numCache>
                <c:formatCode>General</c:formatCode>
                <c:ptCount val="10"/>
                <c:pt idx="0">
                  <c:v>16.399999999999999</c:v>
                </c:pt>
                <c:pt idx="1">
                  <c:v>14.3</c:v>
                </c:pt>
                <c:pt idx="2">
                  <c:v>10.1</c:v>
                </c:pt>
                <c:pt idx="3">
                  <c:v>9.1</c:v>
                </c:pt>
                <c:pt idx="4">
                  <c:v>6.6</c:v>
                </c:pt>
                <c:pt idx="5">
                  <c:v>8</c:v>
                </c:pt>
                <c:pt idx="6">
                  <c:v>6.5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F1E-2D4E-8D5C-1578EFB7E254}"/>
            </c:ext>
          </c:extLst>
        </c:ser>
        <c:ser>
          <c:idx val="10"/>
          <c:order val="10"/>
          <c:tx>
            <c:strRef>
              <c:f>'汇总 (2)'!$A$13</c:f>
              <c:strCache>
                <c:ptCount val="1"/>
                <c:pt idx="0">
                  <c:v>User11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(2)'!$B$13:$K$13</c:f>
              <c:numCache>
                <c:formatCode>General</c:formatCode>
                <c:ptCount val="10"/>
                <c:pt idx="0">
                  <c:v>9.5</c:v>
                </c:pt>
                <c:pt idx="1">
                  <c:v>11</c:v>
                </c:pt>
                <c:pt idx="2">
                  <c:v>7.7</c:v>
                </c:pt>
                <c:pt idx="3">
                  <c:v>9.6999999999999993</c:v>
                </c:pt>
                <c:pt idx="4">
                  <c:v>7.8</c:v>
                </c:pt>
                <c:pt idx="5">
                  <c:v>9.8000000000000007</c:v>
                </c:pt>
                <c:pt idx="6">
                  <c:v>8.3000000000000007</c:v>
                </c:pt>
                <c:pt idx="7">
                  <c:v>7.3</c:v>
                </c:pt>
                <c:pt idx="8">
                  <c:v>8.1999999999999993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F1E-2D4E-8D5C-1578EFB7E254}"/>
            </c:ext>
          </c:extLst>
        </c:ser>
        <c:ser>
          <c:idx val="11"/>
          <c:order val="11"/>
          <c:tx>
            <c:strRef>
              <c:f>'汇总 (2)'!$A$14</c:f>
              <c:strCache>
                <c:ptCount val="1"/>
                <c:pt idx="0">
                  <c:v>User12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(2)'!$B$14:$K$14</c:f>
              <c:numCache>
                <c:formatCode>General</c:formatCode>
                <c:ptCount val="10"/>
                <c:pt idx="0">
                  <c:v>13.2</c:v>
                </c:pt>
                <c:pt idx="1">
                  <c:v>13.9</c:v>
                </c:pt>
                <c:pt idx="2">
                  <c:v>9.6</c:v>
                </c:pt>
                <c:pt idx="3">
                  <c:v>10</c:v>
                </c:pt>
                <c:pt idx="4">
                  <c:v>8.1999999999999993</c:v>
                </c:pt>
                <c:pt idx="5">
                  <c:v>8.1999999999999993</c:v>
                </c:pt>
                <c:pt idx="6">
                  <c:v>8</c:v>
                </c:pt>
                <c:pt idx="7">
                  <c:v>8</c:v>
                </c:pt>
                <c:pt idx="8">
                  <c:v>7.2</c:v>
                </c:pt>
                <c:pt idx="9">
                  <c:v>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F1E-2D4E-8D5C-1578EFB7E254}"/>
            </c:ext>
          </c:extLst>
        </c:ser>
        <c:ser>
          <c:idx val="12"/>
          <c:order val="12"/>
          <c:tx>
            <c:strRef>
              <c:f>'汇总 (2)'!$A$15</c:f>
              <c:strCache>
                <c:ptCount val="1"/>
                <c:pt idx="0">
                  <c:v>User13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(2)'!$B$15:$K$15</c:f>
              <c:numCache>
                <c:formatCode>General</c:formatCode>
                <c:ptCount val="10"/>
                <c:pt idx="0">
                  <c:v>10.5</c:v>
                </c:pt>
                <c:pt idx="1">
                  <c:v>8.4</c:v>
                </c:pt>
                <c:pt idx="2">
                  <c:v>7.9</c:v>
                </c:pt>
                <c:pt idx="3">
                  <c:v>11.7</c:v>
                </c:pt>
                <c:pt idx="4">
                  <c:v>8.3000000000000007</c:v>
                </c:pt>
                <c:pt idx="5">
                  <c:v>7.7</c:v>
                </c:pt>
                <c:pt idx="6">
                  <c:v>7.9</c:v>
                </c:pt>
                <c:pt idx="7">
                  <c:v>8.6</c:v>
                </c:pt>
                <c:pt idx="8">
                  <c:v>6.9</c:v>
                </c:pt>
                <c:pt idx="9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F1E-2D4E-8D5C-1578EFB7E254}"/>
            </c:ext>
          </c:extLst>
        </c:ser>
        <c:ser>
          <c:idx val="13"/>
          <c:order val="13"/>
          <c:tx>
            <c:strRef>
              <c:f>'汇总 (2)'!$A$16</c:f>
              <c:strCache>
                <c:ptCount val="1"/>
                <c:pt idx="0">
                  <c:v>User14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(2)'!$B$16:$K$16</c:f>
              <c:numCache>
                <c:formatCode>General</c:formatCode>
                <c:ptCount val="10"/>
                <c:pt idx="0">
                  <c:v>10.9</c:v>
                </c:pt>
                <c:pt idx="1">
                  <c:v>16.899999999999999</c:v>
                </c:pt>
                <c:pt idx="2">
                  <c:v>16</c:v>
                </c:pt>
                <c:pt idx="3">
                  <c:v>13.2</c:v>
                </c:pt>
                <c:pt idx="4">
                  <c:v>9.9</c:v>
                </c:pt>
                <c:pt idx="5">
                  <c:v>9.8000000000000007</c:v>
                </c:pt>
                <c:pt idx="6">
                  <c:v>8.5</c:v>
                </c:pt>
                <c:pt idx="7">
                  <c:v>9</c:v>
                </c:pt>
                <c:pt idx="8">
                  <c:v>10.8</c:v>
                </c:pt>
                <c:pt idx="9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F1E-2D4E-8D5C-1578EFB7E254}"/>
            </c:ext>
          </c:extLst>
        </c:ser>
        <c:ser>
          <c:idx val="14"/>
          <c:order val="14"/>
          <c:tx>
            <c:strRef>
              <c:f>'汇总 (2)'!$A$17</c:f>
              <c:strCache>
                <c:ptCount val="1"/>
                <c:pt idx="0">
                  <c:v>User15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'汇总 (2)'!$B$17:$K$17</c:f>
              <c:numCache>
                <c:formatCode>General</c:formatCode>
                <c:ptCount val="10"/>
                <c:pt idx="0">
                  <c:v>15</c:v>
                </c:pt>
                <c:pt idx="1">
                  <c:v>12.8</c:v>
                </c:pt>
                <c:pt idx="2">
                  <c:v>14.6</c:v>
                </c:pt>
                <c:pt idx="3">
                  <c:v>11</c:v>
                </c:pt>
                <c:pt idx="4">
                  <c:v>8.1</c:v>
                </c:pt>
                <c:pt idx="5">
                  <c:v>7.3</c:v>
                </c:pt>
                <c:pt idx="6">
                  <c:v>8</c:v>
                </c:pt>
                <c:pt idx="7">
                  <c:v>7.4</c:v>
                </c:pt>
                <c:pt idx="8">
                  <c:v>6.6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F1E-2D4E-8D5C-1578EFB7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084943"/>
        <c:axId val="1726122735"/>
      </c:scatterChart>
      <c:valAx>
        <c:axId val="1726084943"/>
        <c:scaling>
          <c:orientation val="minMax"/>
          <c:max val="10"/>
          <c:min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122735"/>
        <c:crosses val="autoZero"/>
        <c:crossBetween val="midCat"/>
      </c:valAx>
      <c:valAx>
        <c:axId val="1726122735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08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47152645393010084"/>
          <c:y val="0.13542919030282505"/>
          <c:w val="0.49920751984747241"/>
          <c:h val="0.154043899754466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17369</xdr:colOff>
      <xdr:row>18</xdr:row>
      <xdr:rowOff>23873</xdr:rowOff>
    </xdr:from>
    <xdr:to>
      <xdr:col>8</xdr:col>
      <xdr:colOff>12700</xdr:colOff>
      <xdr:row>32</xdr:row>
      <xdr:rowOff>22321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785E555-E40E-1A44-AB89-13E2E1DC4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10160</xdr:rowOff>
    </xdr:from>
    <xdr:to>
      <xdr:col>7</xdr:col>
      <xdr:colOff>812800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34C88A8-F6CD-754D-8077-A39512FE6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DDF4-6098-E442-85A1-733CE1930C62}">
  <dimension ref="A1:AG30"/>
  <sheetViews>
    <sheetView topLeftCell="G1" workbookViewId="0">
      <selection activeCell="N20" sqref="N20:AG20"/>
    </sheetView>
  </sheetViews>
  <sheetFormatPr baseColWidth="10" defaultRowHeight="16"/>
  <sheetData>
    <row r="1" spans="1:33">
      <c r="A1" s="17" t="s">
        <v>24</v>
      </c>
      <c r="B1" s="18"/>
      <c r="C1" s="26" t="s">
        <v>25</v>
      </c>
      <c r="D1" s="27"/>
      <c r="E1" s="27"/>
      <c r="F1" s="27"/>
      <c r="G1" s="27"/>
      <c r="H1" s="27"/>
      <c r="I1" s="27"/>
      <c r="J1" s="28"/>
      <c r="K1" s="18"/>
      <c r="L1" s="23"/>
    </row>
    <row r="2" spans="1:33">
      <c r="A2" s="19"/>
      <c r="B2" s="20"/>
      <c r="C2" s="20" t="s">
        <v>26</v>
      </c>
      <c r="D2" s="20"/>
      <c r="E2" s="20"/>
      <c r="F2" s="20"/>
      <c r="G2" s="20"/>
      <c r="H2" s="20"/>
      <c r="I2" s="20"/>
      <c r="J2" s="20"/>
      <c r="K2" s="20"/>
      <c r="L2" s="24"/>
    </row>
    <row r="3" spans="1:33">
      <c r="A3" s="19"/>
      <c r="B3" s="20"/>
      <c r="C3" s="20" t="s">
        <v>27</v>
      </c>
      <c r="D3" s="20"/>
      <c r="E3" s="20"/>
      <c r="F3" s="20"/>
      <c r="G3" s="20"/>
      <c r="H3" s="20"/>
      <c r="I3" s="20"/>
      <c r="J3" s="20"/>
      <c r="K3" s="20"/>
      <c r="L3" s="24"/>
    </row>
    <row r="4" spans="1:33" ht="17" thickBot="1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5"/>
    </row>
    <row r="5" spans="1:33" ht="17" thickBo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33" ht="16" customHeight="1">
      <c r="A6" s="30" t="s">
        <v>28</v>
      </c>
      <c r="B6" s="31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32"/>
      <c r="B7" s="33"/>
      <c r="C7" s="1" t="s">
        <v>0</v>
      </c>
      <c r="D7" s="2"/>
      <c r="E7" s="1" t="s">
        <v>0</v>
      </c>
      <c r="F7" s="2"/>
      <c r="G7" s="1" t="s">
        <v>0</v>
      </c>
      <c r="H7" s="2"/>
      <c r="I7" s="1" t="s">
        <v>0</v>
      </c>
      <c r="J7" s="2"/>
      <c r="K7" s="1" t="s">
        <v>0</v>
      </c>
      <c r="L7" s="2"/>
      <c r="N7">
        <f>D7</f>
        <v>0</v>
      </c>
      <c r="O7">
        <f>F7</f>
        <v>0</v>
      </c>
      <c r="P7">
        <f>H7</f>
        <v>0</v>
      </c>
      <c r="Q7">
        <f>J7</f>
        <v>0</v>
      </c>
      <c r="R7">
        <f>L7</f>
        <v>0</v>
      </c>
      <c r="S7">
        <f>D10</f>
        <v>0</v>
      </c>
      <c r="T7">
        <f>F10</f>
        <v>0</v>
      </c>
      <c r="U7">
        <f>H10</f>
        <v>0</v>
      </c>
      <c r="V7">
        <f>J10</f>
        <v>0</v>
      </c>
      <c r="W7">
        <f>L10</f>
        <v>0</v>
      </c>
      <c r="X7">
        <f>D13</f>
        <v>0</v>
      </c>
      <c r="Y7">
        <f>F13</f>
        <v>0</v>
      </c>
      <c r="Z7">
        <f>H13</f>
        <v>0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32"/>
      <c r="B8" s="33"/>
      <c r="C8" s="3" t="s">
        <v>1</v>
      </c>
      <c r="D8" s="4"/>
      <c r="E8" s="3" t="s">
        <v>1</v>
      </c>
      <c r="F8" s="4"/>
      <c r="G8" s="3" t="s">
        <v>1</v>
      </c>
      <c r="H8" s="4"/>
      <c r="I8" s="3" t="s">
        <v>1</v>
      </c>
      <c r="J8" s="4"/>
      <c r="K8" s="3" t="s">
        <v>1</v>
      </c>
      <c r="L8" s="4"/>
    </row>
    <row r="9" spans="1:33">
      <c r="A9" s="32"/>
      <c r="B9" s="33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32"/>
      <c r="B10" s="33"/>
      <c r="C10" s="1" t="s">
        <v>0</v>
      </c>
      <c r="D10" s="2"/>
      <c r="E10" s="1" t="s">
        <v>0</v>
      </c>
      <c r="F10" s="2"/>
      <c r="G10" s="1" t="s">
        <v>0</v>
      </c>
      <c r="H10" s="2"/>
      <c r="I10" s="1" t="s">
        <v>0</v>
      </c>
      <c r="J10" s="2"/>
      <c r="K10" s="1" t="s">
        <v>0</v>
      </c>
      <c r="L10" s="2"/>
    </row>
    <row r="11" spans="1:33" ht="17" thickBot="1">
      <c r="A11" s="32"/>
      <c r="B11" s="33"/>
      <c r="C11" s="3" t="s">
        <v>1</v>
      </c>
      <c r="D11" s="4"/>
      <c r="E11" s="3" t="s">
        <v>1</v>
      </c>
      <c r="F11" s="4"/>
      <c r="G11" s="3" t="s">
        <v>1</v>
      </c>
      <c r="H11" s="4"/>
      <c r="I11" s="3" t="s">
        <v>1</v>
      </c>
      <c r="J11" s="4"/>
      <c r="K11" s="3" t="s">
        <v>1</v>
      </c>
      <c r="L11" s="4"/>
    </row>
    <row r="12" spans="1:33">
      <c r="A12" s="32"/>
      <c r="B12" s="33"/>
      <c r="C12" s="36" t="s">
        <v>12</v>
      </c>
      <c r="D12" s="23"/>
      <c r="E12" s="36" t="s">
        <v>13</v>
      </c>
      <c r="F12" s="23"/>
      <c r="G12" s="36" t="s">
        <v>14</v>
      </c>
      <c r="H12" s="23"/>
      <c r="I12" s="36" t="s">
        <v>15</v>
      </c>
      <c r="J12" s="23"/>
      <c r="K12" s="36" t="s">
        <v>16</v>
      </c>
      <c r="L12" s="23"/>
    </row>
    <row r="13" spans="1:33">
      <c r="A13" s="32"/>
      <c r="B13" s="33"/>
      <c r="C13" s="1" t="s">
        <v>0</v>
      </c>
      <c r="D13" s="2"/>
      <c r="E13" s="1" t="s">
        <v>0</v>
      </c>
      <c r="F13" s="2"/>
      <c r="G13" s="1" t="s">
        <v>0</v>
      </c>
      <c r="H13" s="2"/>
      <c r="I13" s="1" t="s">
        <v>0</v>
      </c>
      <c r="J13" s="2"/>
      <c r="K13" s="1" t="s">
        <v>0</v>
      </c>
      <c r="L13" s="2"/>
    </row>
    <row r="14" spans="1:33" ht="17" thickBot="1">
      <c r="A14" s="32"/>
      <c r="B14" s="33"/>
      <c r="C14" s="3" t="s">
        <v>1</v>
      </c>
      <c r="D14" s="4"/>
      <c r="E14" s="3" t="s">
        <v>1</v>
      </c>
      <c r="F14" s="4"/>
      <c r="G14" s="3" t="s">
        <v>1</v>
      </c>
      <c r="H14" s="4"/>
      <c r="I14" s="3" t="s">
        <v>1</v>
      </c>
      <c r="J14" s="4"/>
      <c r="K14" s="3" t="s">
        <v>1</v>
      </c>
      <c r="L14" s="4"/>
    </row>
    <row r="15" spans="1:33">
      <c r="A15" s="32"/>
      <c r="B15" s="33"/>
      <c r="C15" s="36" t="s">
        <v>17</v>
      </c>
      <c r="D15" s="23"/>
      <c r="E15" s="36" t="s">
        <v>18</v>
      </c>
      <c r="F15" s="23"/>
      <c r="G15" s="36" t="s">
        <v>19</v>
      </c>
      <c r="H15" s="23"/>
      <c r="I15" s="36" t="s">
        <v>20</v>
      </c>
      <c r="J15" s="23"/>
      <c r="K15" s="36" t="s">
        <v>21</v>
      </c>
      <c r="L15" s="23"/>
    </row>
    <row r="16" spans="1:33">
      <c r="A16" s="32"/>
      <c r="B16" s="33"/>
      <c r="C16" s="1" t="s">
        <v>0</v>
      </c>
      <c r="D16" s="2"/>
      <c r="E16" s="1" t="s">
        <v>0</v>
      </c>
      <c r="F16" s="2"/>
      <c r="G16" s="1" t="s">
        <v>0</v>
      </c>
      <c r="H16" s="2"/>
      <c r="I16" s="1" t="s">
        <v>0</v>
      </c>
      <c r="J16" s="2"/>
      <c r="K16" s="1" t="s">
        <v>0</v>
      </c>
      <c r="L16" s="2"/>
    </row>
    <row r="17" spans="1:33" ht="17" thickBot="1">
      <c r="A17" s="34"/>
      <c r="B17" s="35"/>
      <c r="C17" s="3" t="s">
        <v>1</v>
      </c>
      <c r="D17" s="4"/>
      <c r="E17" s="3" t="s">
        <v>1</v>
      </c>
      <c r="F17" s="4"/>
      <c r="G17" s="3" t="s">
        <v>1</v>
      </c>
      <c r="H17" s="4"/>
      <c r="I17" s="3" t="s">
        <v>1</v>
      </c>
      <c r="J17" s="4"/>
      <c r="K17" s="3" t="s">
        <v>1</v>
      </c>
      <c r="L17" s="4"/>
    </row>
    <row r="18" spans="1:33" ht="17" thickBot="1">
      <c r="A18" s="3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3"/>
    </row>
    <row r="19" spans="1:33">
      <c r="A19" s="30" t="s">
        <v>22</v>
      </c>
      <c r="B19" s="31"/>
      <c r="C19" s="36" t="s">
        <v>2</v>
      </c>
      <c r="D19" s="23"/>
      <c r="E19" s="36" t="s">
        <v>3</v>
      </c>
      <c r="F19" s="23"/>
      <c r="G19" s="36" t="s">
        <v>4</v>
      </c>
      <c r="H19" s="23"/>
      <c r="I19" s="36" t="s">
        <v>5</v>
      </c>
      <c r="J19" s="23"/>
      <c r="K19" s="36" t="s">
        <v>6</v>
      </c>
      <c r="L19" s="23"/>
    </row>
    <row r="20" spans="1:33">
      <c r="A20" s="32"/>
      <c r="B20" s="33"/>
      <c r="C20" s="1" t="s">
        <v>0</v>
      </c>
      <c r="D20" s="2"/>
      <c r="E20" s="1" t="s">
        <v>0</v>
      </c>
      <c r="F20" s="2"/>
      <c r="G20" s="1" t="s">
        <v>0</v>
      </c>
      <c r="H20" s="2"/>
      <c r="I20" s="1" t="s">
        <v>0</v>
      </c>
      <c r="J20" s="2"/>
      <c r="K20" s="1" t="s">
        <v>0</v>
      </c>
      <c r="L20" s="2"/>
      <c r="N20">
        <f>D20</f>
        <v>0</v>
      </c>
      <c r="O20">
        <f>F20</f>
        <v>0</v>
      </c>
      <c r="P20">
        <f>H20</f>
        <v>0</v>
      </c>
      <c r="Q20">
        <f>J20</f>
        <v>0</v>
      </c>
      <c r="R20">
        <f>L20</f>
        <v>0</v>
      </c>
      <c r="S20">
        <f>D23</f>
        <v>0</v>
      </c>
      <c r="T20">
        <f>F23</f>
        <v>0</v>
      </c>
      <c r="U20">
        <f>H23</f>
        <v>0</v>
      </c>
      <c r="V20">
        <f>J23</f>
        <v>0</v>
      </c>
      <c r="W20">
        <f>L23</f>
        <v>0</v>
      </c>
      <c r="X20">
        <f>D26</f>
        <v>0</v>
      </c>
      <c r="Y20">
        <f>F26</f>
        <v>0</v>
      </c>
      <c r="Z20">
        <f>H26</f>
        <v>0</v>
      </c>
      <c r="AA20">
        <f>J26</f>
        <v>0</v>
      </c>
      <c r="AB20">
        <f>L26</f>
        <v>0</v>
      </c>
      <c r="AC20">
        <f>D29</f>
        <v>0</v>
      </c>
      <c r="AD20">
        <f>F29</f>
        <v>0</v>
      </c>
      <c r="AE20">
        <f>H29</f>
        <v>0</v>
      </c>
      <c r="AF20">
        <f>J29</f>
        <v>0</v>
      </c>
      <c r="AG20">
        <f>L29</f>
        <v>0</v>
      </c>
    </row>
    <row r="21" spans="1:33" ht="17" thickBot="1">
      <c r="A21" s="32"/>
      <c r="B21" s="33"/>
      <c r="C21" s="3" t="s">
        <v>1</v>
      </c>
      <c r="D21" s="4"/>
      <c r="E21" s="3" t="s">
        <v>1</v>
      </c>
      <c r="F21" s="4"/>
      <c r="G21" s="3" t="s">
        <v>1</v>
      </c>
      <c r="H21" s="4"/>
      <c r="I21" s="3" t="s">
        <v>1</v>
      </c>
      <c r="J21" s="4"/>
      <c r="K21" s="3" t="s">
        <v>1</v>
      </c>
      <c r="L21" s="4"/>
    </row>
    <row r="22" spans="1:33">
      <c r="A22" s="32"/>
      <c r="B22" s="33"/>
      <c r="C22" s="36" t="s">
        <v>7</v>
      </c>
      <c r="D22" s="23"/>
      <c r="E22" s="36" t="s">
        <v>8</v>
      </c>
      <c r="F22" s="23"/>
      <c r="G22" s="36" t="s">
        <v>9</v>
      </c>
      <c r="H22" s="23"/>
      <c r="I22" s="36" t="s">
        <v>10</v>
      </c>
      <c r="J22" s="23"/>
      <c r="K22" s="36" t="s">
        <v>11</v>
      </c>
      <c r="L22" s="23"/>
    </row>
    <row r="23" spans="1:33">
      <c r="A23" s="32"/>
      <c r="B23" s="33"/>
      <c r="C23" s="1" t="s">
        <v>0</v>
      </c>
      <c r="E23" s="1" t="s">
        <v>0</v>
      </c>
      <c r="F23" s="2"/>
      <c r="G23" s="1" t="s">
        <v>0</v>
      </c>
      <c r="H23" s="2"/>
      <c r="I23" s="1" t="s">
        <v>0</v>
      </c>
      <c r="J23" s="2"/>
      <c r="K23" s="1" t="s">
        <v>0</v>
      </c>
      <c r="L23" s="2"/>
    </row>
    <row r="24" spans="1:33" ht="17" thickBot="1">
      <c r="A24" s="32"/>
      <c r="B24" s="33"/>
      <c r="C24" s="3" t="s">
        <v>1</v>
      </c>
      <c r="D24" s="4"/>
      <c r="E24" s="3" t="s">
        <v>1</v>
      </c>
      <c r="F24" s="4"/>
      <c r="G24" s="3" t="s">
        <v>1</v>
      </c>
      <c r="H24" s="4"/>
      <c r="I24" s="3" t="s">
        <v>1</v>
      </c>
      <c r="J24" s="4"/>
      <c r="K24" s="3" t="s">
        <v>1</v>
      </c>
      <c r="L24" s="4"/>
    </row>
    <row r="25" spans="1:33">
      <c r="A25" s="32"/>
      <c r="B25" s="33"/>
      <c r="C25" s="36" t="s">
        <v>12</v>
      </c>
      <c r="D25" s="23"/>
      <c r="E25" s="36" t="s">
        <v>13</v>
      </c>
      <c r="F25" s="23"/>
      <c r="G25" s="36" t="s">
        <v>14</v>
      </c>
      <c r="H25" s="23"/>
      <c r="I25" s="36" t="s">
        <v>15</v>
      </c>
      <c r="J25" s="23"/>
      <c r="K25" s="36" t="s">
        <v>16</v>
      </c>
      <c r="L25" s="23"/>
    </row>
    <row r="26" spans="1:33">
      <c r="A26" s="32"/>
      <c r="B26" s="33"/>
      <c r="C26" s="1" t="s">
        <v>0</v>
      </c>
      <c r="D26" s="2"/>
      <c r="E26" s="1" t="s">
        <v>0</v>
      </c>
      <c r="F26" s="2"/>
      <c r="G26" s="1" t="s">
        <v>0</v>
      </c>
      <c r="H26" s="2"/>
      <c r="I26" s="1" t="s">
        <v>0</v>
      </c>
      <c r="J26" s="2"/>
      <c r="K26" s="1" t="s">
        <v>0</v>
      </c>
      <c r="L26" s="2"/>
    </row>
    <row r="27" spans="1:33" ht="17" thickBot="1">
      <c r="A27" s="32"/>
      <c r="B27" s="33"/>
      <c r="C27" s="3" t="s">
        <v>1</v>
      </c>
      <c r="D27" s="4"/>
      <c r="E27" s="3" t="s">
        <v>1</v>
      </c>
      <c r="F27" s="4"/>
      <c r="G27" s="3" t="s">
        <v>1</v>
      </c>
      <c r="H27" s="4"/>
      <c r="I27" s="3" t="s">
        <v>1</v>
      </c>
      <c r="J27" s="4"/>
      <c r="K27" s="3" t="s">
        <v>1</v>
      </c>
      <c r="L27" s="4"/>
    </row>
    <row r="28" spans="1:33">
      <c r="A28" s="32"/>
      <c r="B28" s="33"/>
      <c r="C28" s="36" t="s">
        <v>17</v>
      </c>
      <c r="D28" s="23"/>
      <c r="E28" s="36" t="s">
        <v>18</v>
      </c>
      <c r="F28" s="23"/>
      <c r="G28" s="36" t="s">
        <v>19</v>
      </c>
      <c r="H28" s="23"/>
      <c r="I28" s="36" t="s">
        <v>20</v>
      </c>
      <c r="J28" s="23"/>
      <c r="K28" s="36" t="s">
        <v>21</v>
      </c>
      <c r="L28" s="23"/>
    </row>
    <row r="29" spans="1:33">
      <c r="A29" s="32"/>
      <c r="B29" s="33"/>
      <c r="C29" s="1" t="s">
        <v>0</v>
      </c>
      <c r="D29" s="2"/>
      <c r="E29" s="1" t="s">
        <v>0</v>
      </c>
      <c r="F29" s="2"/>
      <c r="G29" s="1" t="s">
        <v>0</v>
      </c>
      <c r="H29" s="2"/>
      <c r="I29" s="1" t="s">
        <v>0</v>
      </c>
      <c r="J29" s="2"/>
      <c r="K29" s="1" t="s">
        <v>0</v>
      </c>
      <c r="L29" s="2"/>
    </row>
    <row r="30" spans="1:33" ht="17" thickBot="1">
      <c r="A30" s="34"/>
      <c r="B30" s="35"/>
      <c r="C30" s="3" t="s">
        <v>1</v>
      </c>
      <c r="D30" s="4"/>
      <c r="E30" s="3" t="s">
        <v>1</v>
      </c>
      <c r="F30" s="4"/>
      <c r="G30" s="3" t="s">
        <v>1</v>
      </c>
      <c r="H30" s="4"/>
      <c r="I30" s="3" t="s">
        <v>1</v>
      </c>
      <c r="J30" s="4"/>
      <c r="K30" s="3" t="s">
        <v>1</v>
      </c>
      <c r="L30" s="4"/>
    </row>
  </sheetData>
  <mergeCells count="53">
    <mergeCell ref="K25:L25"/>
    <mergeCell ref="C28:D28"/>
    <mergeCell ref="E28:F28"/>
    <mergeCell ref="G28:H28"/>
    <mergeCell ref="I28:J28"/>
    <mergeCell ref="K28:L28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19:L19"/>
    <mergeCell ref="C22:D22"/>
    <mergeCell ref="E22:F22"/>
    <mergeCell ref="G22:H22"/>
    <mergeCell ref="I22:J22"/>
    <mergeCell ref="K22:L22"/>
    <mergeCell ref="A18:L18"/>
    <mergeCell ref="I9:J9"/>
    <mergeCell ref="K9:L9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A1:B4"/>
    <mergeCell ref="K1:L1"/>
    <mergeCell ref="C2:J2"/>
    <mergeCell ref="K2:L2"/>
    <mergeCell ref="C3:J3"/>
    <mergeCell ref="K3:L3"/>
    <mergeCell ref="C4:J4"/>
    <mergeCell ref="K4:L4"/>
    <mergeCell ref="C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5CA0-4F4E-0D41-B419-942FF6D317B0}">
  <dimension ref="A1:AG30"/>
  <sheetViews>
    <sheetView topLeftCell="A2" workbookViewId="0">
      <selection activeCell="L23" sqref="L23"/>
    </sheetView>
  </sheetViews>
  <sheetFormatPr baseColWidth="10" defaultRowHeight="16"/>
  <sheetData>
    <row r="1" spans="1:33" ht="16" customHeight="1">
      <c r="A1" s="17" t="s">
        <v>77</v>
      </c>
      <c r="B1" s="26"/>
      <c r="C1" s="36" t="s">
        <v>76</v>
      </c>
      <c r="D1" s="18"/>
      <c r="E1" s="18"/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43" t="s">
        <v>74</v>
      </c>
      <c r="F2" s="44"/>
      <c r="G2" s="44"/>
      <c r="H2" s="45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46" t="s">
        <v>72</v>
      </c>
      <c r="F3" s="44"/>
      <c r="G3" s="44"/>
      <c r="H3" s="45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49">
        <v>160</v>
      </c>
      <c r="F4" s="50"/>
      <c r="G4" s="50"/>
      <c r="H4" s="51"/>
      <c r="I4" s="29"/>
      <c r="J4" s="29"/>
      <c r="K4" s="29"/>
      <c r="L4" s="35"/>
    </row>
    <row r="5" spans="1:33" ht="17" thickBo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33" ht="16" customHeight="1">
      <c r="A6" s="30" t="s">
        <v>28</v>
      </c>
      <c r="B6" s="31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32"/>
      <c r="B7" s="33"/>
      <c r="C7" s="1" t="s">
        <v>0</v>
      </c>
      <c r="D7" s="2">
        <v>8.9</v>
      </c>
      <c r="E7" s="1" t="s">
        <v>0</v>
      </c>
      <c r="F7" s="2">
        <v>6.7</v>
      </c>
      <c r="G7" s="1" t="s">
        <v>0</v>
      </c>
      <c r="H7" s="2">
        <v>4.7</v>
      </c>
      <c r="I7" s="1" t="s">
        <v>0</v>
      </c>
      <c r="J7" s="2">
        <v>5.5</v>
      </c>
      <c r="K7" s="1" t="s">
        <v>0</v>
      </c>
      <c r="L7" s="2">
        <v>5.0999999999999996</v>
      </c>
      <c r="N7">
        <f>D7</f>
        <v>8.9</v>
      </c>
      <c r="O7">
        <f>F7</f>
        <v>6.7</v>
      </c>
      <c r="P7">
        <f>H7</f>
        <v>4.7</v>
      </c>
      <c r="Q7">
        <f>J7</f>
        <v>5.5</v>
      </c>
      <c r="R7">
        <f>L7</f>
        <v>5.0999999999999996</v>
      </c>
      <c r="S7">
        <f>D10</f>
        <v>4.4000000000000004</v>
      </c>
      <c r="T7">
        <f>F10</f>
        <v>5.9</v>
      </c>
      <c r="U7">
        <f>H10</f>
        <v>6.9</v>
      </c>
      <c r="V7">
        <f>J10</f>
        <v>4.8</v>
      </c>
      <c r="W7">
        <f>L10</f>
        <v>5.0999999999999996</v>
      </c>
      <c r="X7">
        <f>D13</f>
        <v>5.5</v>
      </c>
      <c r="Y7">
        <f>F13</f>
        <v>4.4000000000000004</v>
      </c>
      <c r="Z7">
        <f>H13</f>
        <v>5.2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32"/>
      <c r="B8" s="33"/>
      <c r="C8" s="3" t="s">
        <v>1</v>
      </c>
      <c r="D8" s="4">
        <v>1</v>
      </c>
      <c r="E8" s="3" t="s">
        <v>1</v>
      </c>
      <c r="F8" s="4">
        <v>0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0</v>
      </c>
      <c r="N8">
        <f>D8</f>
        <v>1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1</v>
      </c>
      <c r="V8">
        <f>J11</f>
        <v>0</v>
      </c>
      <c r="W8">
        <f>L11</f>
        <v>0</v>
      </c>
    </row>
    <row r="9" spans="1:33">
      <c r="A9" s="32"/>
      <c r="B9" s="33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32"/>
      <c r="B10" s="33"/>
      <c r="C10" s="1" t="s">
        <v>0</v>
      </c>
      <c r="D10" s="2">
        <v>4.4000000000000004</v>
      </c>
      <c r="E10" s="1" t="s">
        <v>0</v>
      </c>
      <c r="F10" s="2">
        <v>5.9</v>
      </c>
      <c r="G10" s="1" t="s">
        <v>0</v>
      </c>
      <c r="H10" s="2">
        <v>6.9</v>
      </c>
      <c r="I10" s="1" t="s">
        <v>0</v>
      </c>
      <c r="J10" s="2">
        <v>4.8</v>
      </c>
      <c r="K10" s="1" t="s">
        <v>0</v>
      </c>
      <c r="L10" s="2">
        <v>5.0999999999999996</v>
      </c>
    </row>
    <row r="11" spans="1:33" ht="17" thickBot="1">
      <c r="A11" s="32"/>
      <c r="B11" s="33"/>
      <c r="C11" s="3" t="s">
        <v>1</v>
      </c>
      <c r="D11" s="4">
        <v>0</v>
      </c>
      <c r="E11" s="3" t="s">
        <v>1</v>
      </c>
      <c r="F11" s="4">
        <v>0</v>
      </c>
      <c r="G11" s="3" t="s">
        <v>1</v>
      </c>
      <c r="H11" s="4">
        <v>1</v>
      </c>
      <c r="I11" s="3" t="s">
        <v>1</v>
      </c>
      <c r="J11" s="4">
        <v>0</v>
      </c>
      <c r="K11" s="3" t="s">
        <v>1</v>
      </c>
      <c r="L11" s="4">
        <v>0</v>
      </c>
    </row>
    <row r="12" spans="1:33">
      <c r="A12" s="32"/>
      <c r="B12" s="33"/>
      <c r="C12" s="36" t="s">
        <v>12</v>
      </c>
      <c r="D12" s="23"/>
      <c r="E12" s="36" t="s">
        <v>13</v>
      </c>
      <c r="F12" s="23"/>
      <c r="G12" s="36" t="s">
        <v>14</v>
      </c>
      <c r="H12" s="23"/>
      <c r="I12" s="36" t="s">
        <v>15</v>
      </c>
      <c r="J12" s="23"/>
      <c r="K12" s="36" t="s">
        <v>16</v>
      </c>
      <c r="L12" s="23"/>
    </row>
    <row r="13" spans="1:33">
      <c r="A13" s="32"/>
      <c r="B13" s="33"/>
      <c r="C13" s="1" t="s">
        <v>0</v>
      </c>
      <c r="D13" s="2">
        <v>5.5</v>
      </c>
      <c r="E13" s="1" t="s">
        <v>0</v>
      </c>
      <c r="F13" s="2">
        <v>4.4000000000000004</v>
      </c>
      <c r="G13" s="1" t="s">
        <v>0</v>
      </c>
      <c r="H13" s="2">
        <v>5.2</v>
      </c>
      <c r="I13" s="1" t="s">
        <v>0</v>
      </c>
      <c r="J13" s="2"/>
      <c r="K13" s="1" t="s">
        <v>0</v>
      </c>
      <c r="L13" s="2"/>
    </row>
    <row r="14" spans="1:33" ht="17" thickBot="1">
      <c r="A14" s="32"/>
      <c r="B14" s="33"/>
      <c r="C14" s="3" t="s">
        <v>1</v>
      </c>
      <c r="D14" s="4">
        <v>0</v>
      </c>
      <c r="E14" s="3" t="s">
        <v>1</v>
      </c>
      <c r="F14" s="4">
        <v>0</v>
      </c>
      <c r="G14" s="3" t="s">
        <v>1</v>
      </c>
      <c r="H14" s="4">
        <v>0</v>
      </c>
      <c r="I14" s="3" t="s">
        <v>1</v>
      </c>
      <c r="J14" s="4"/>
      <c r="K14" s="3" t="s">
        <v>1</v>
      </c>
      <c r="L14" s="4"/>
    </row>
    <row r="15" spans="1:33">
      <c r="A15" s="32"/>
      <c r="B15" s="33"/>
      <c r="C15" s="36" t="s">
        <v>17</v>
      </c>
      <c r="D15" s="23"/>
      <c r="E15" s="36" t="s">
        <v>18</v>
      </c>
      <c r="F15" s="23"/>
      <c r="G15" s="36" t="s">
        <v>19</v>
      </c>
      <c r="H15" s="23"/>
      <c r="I15" s="36" t="s">
        <v>20</v>
      </c>
      <c r="J15" s="23"/>
      <c r="K15" s="36" t="s">
        <v>21</v>
      </c>
      <c r="L15" s="23"/>
    </row>
    <row r="16" spans="1:33">
      <c r="A16" s="32"/>
      <c r="B16" s="33"/>
      <c r="C16" s="1" t="s">
        <v>0</v>
      </c>
      <c r="D16" s="2"/>
      <c r="E16" s="1" t="s">
        <v>0</v>
      </c>
      <c r="F16" s="2"/>
      <c r="G16" s="1" t="s">
        <v>0</v>
      </c>
      <c r="H16" s="2"/>
      <c r="I16" s="1" t="s">
        <v>0</v>
      </c>
      <c r="J16" s="2"/>
      <c r="K16" s="1" t="s">
        <v>0</v>
      </c>
      <c r="L16" s="2"/>
    </row>
    <row r="17" spans="1:33" ht="17" thickBot="1">
      <c r="A17" s="34"/>
      <c r="B17" s="35"/>
      <c r="C17" s="3" t="s">
        <v>1</v>
      </c>
      <c r="D17" s="4"/>
      <c r="E17" s="3" t="s">
        <v>1</v>
      </c>
      <c r="F17" s="4"/>
      <c r="G17" s="3" t="s">
        <v>1</v>
      </c>
      <c r="H17" s="4"/>
      <c r="I17" s="3" t="s">
        <v>1</v>
      </c>
      <c r="J17" s="4"/>
      <c r="K17" s="3" t="s">
        <v>1</v>
      </c>
      <c r="L17" s="4"/>
    </row>
    <row r="18" spans="1:33" ht="17" thickBot="1">
      <c r="A18" s="3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3"/>
    </row>
    <row r="19" spans="1:33">
      <c r="A19" s="30" t="s">
        <v>22</v>
      </c>
      <c r="B19" s="31"/>
      <c r="C19" s="36" t="s">
        <v>2</v>
      </c>
      <c r="D19" s="23"/>
      <c r="E19" s="36" t="s">
        <v>3</v>
      </c>
      <c r="F19" s="23"/>
      <c r="G19" s="36" t="s">
        <v>4</v>
      </c>
      <c r="H19" s="23"/>
      <c r="I19" s="36" t="s">
        <v>5</v>
      </c>
      <c r="J19" s="23"/>
      <c r="K19" s="36" t="s">
        <v>6</v>
      </c>
      <c r="L19" s="23"/>
    </row>
    <row r="20" spans="1:33">
      <c r="A20" s="32"/>
      <c r="B20" s="33"/>
      <c r="C20" s="1" t="s">
        <v>0</v>
      </c>
      <c r="D20" s="2">
        <v>15.3</v>
      </c>
      <c r="E20" s="1" t="s">
        <v>0</v>
      </c>
      <c r="F20" s="2">
        <v>14.4</v>
      </c>
      <c r="G20" s="1" t="s">
        <v>0</v>
      </c>
      <c r="H20" s="2">
        <v>10.7</v>
      </c>
      <c r="I20" s="1" t="s">
        <v>0</v>
      </c>
      <c r="J20" s="2">
        <v>13</v>
      </c>
      <c r="K20" s="1" t="s">
        <v>0</v>
      </c>
      <c r="L20" s="2">
        <v>11.2</v>
      </c>
      <c r="N20">
        <f>D20</f>
        <v>15.3</v>
      </c>
      <c r="O20">
        <f>F20</f>
        <v>14.4</v>
      </c>
      <c r="P20">
        <f>H20</f>
        <v>10.7</v>
      </c>
      <c r="Q20">
        <f>J20</f>
        <v>13</v>
      </c>
      <c r="R20">
        <f>L20</f>
        <v>11.2</v>
      </c>
      <c r="S20">
        <f>D23</f>
        <v>10.199999999999999</v>
      </c>
      <c r="T20">
        <f>F23</f>
        <v>11.2</v>
      </c>
      <c r="U20">
        <f>H23</f>
        <v>10.8</v>
      </c>
      <c r="V20">
        <f>J23</f>
        <v>11</v>
      </c>
      <c r="W20">
        <f>L23</f>
        <v>9.3000000000000007</v>
      </c>
      <c r="X20">
        <f>D26</f>
        <v>10.199999999999999</v>
      </c>
      <c r="Y20">
        <f>F26</f>
        <v>10.4</v>
      </c>
      <c r="Z20">
        <f>H26</f>
        <v>9.8000000000000007</v>
      </c>
      <c r="AA20">
        <f>J26</f>
        <v>11</v>
      </c>
      <c r="AB20">
        <f>L26</f>
        <v>10.199999999999999</v>
      </c>
      <c r="AC20">
        <f>D29</f>
        <v>9.6</v>
      </c>
      <c r="AD20">
        <f>F29</f>
        <v>9.9</v>
      </c>
      <c r="AE20">
        <f>H29</f>
        <v>9.5</v>
      </c>
      <c r="AF20">
        <f>J29</f>
        <v>8</v>
      </c>
      <c r="AG20">
        <f>L29</f>
        <v>9.4</v>
      </c>
    </row>
    <row r="21" spans="1:33" ht="17" thickBot="1">
      <c r="A21" s="32"/>
      <c r="B21" s="33"/>
      <c r="C21" s="3" t="s">
        <v>1</v>
      </c>
      <c r="D21" s="4">
        <v>0</v>
      </c>
      <c r="E21" s="3" t="s">
        <v>1</v>
      </c>
      <c r="F21" s="4">
        <v>0</v>
      </c>
      <c r="G21" s="3" t="s">
        <v>1</v>
      </c>
      <c r="H21" s="4">
        <v>1</v>
      </c>
      <c r="I21" s="3" t="s">
        <v>1</v>
      </c>
      <c r="J21" s="4">
        <v>0</v>
      </c>
      <c r="K21" s="3" t="s">
        <v>1</v>
      </c>
      <c r="L21" s="4">
        <v>0</v>
      </c>
      <c r="N21">
        <f>D21</f>
        <v>0</v>
      </c>
      <c r="O21">
        <f>F21</f>
        <v>0</v>
      </c>
      <c r="P21">
        <f>H21</f>
        <v>1</v>
      </c>
      <c r="Q21">
        <f>J21</f>
        <v>0</v>
      </c>
      <c r="R21">
        <f>L21</f>
        <v>0</v>
      </c>
      <c r="S21">
        <f>D24</f>
        <v>0</v>
      </c>
      <c r="T21">
        <f>F24</f>
        <v>0</v>
      </c>
      <c r="U21">
        <f>H24</f>
        <v>0</v>
      </c>
      <c r="V21">
        <f>J24</f>
        <v>0</v>
      </c>
      <c r="W21">
        <f>L24</f>
        <v>0</v>
      </c>
      <c r="X21">
        <f>D27</f>
        <v>0</v>
      </c>
      <c r="Y21">
        <f>F27</f>
        <v>0</v>
      </c>
      <c r="Z21">
        <f>H27</f>
        <v>0</v>
      </c>
      <c r="AA21">
        <f>J27</f>
        <v>0</v>
      </c>
      <c r="AB21">
        <f>L27</f>
        <v>0</v>
      </c>
      <c r="AC21">
        <f>D30</f>
        <v>0</v>
      </c>
      <c r="AD21">
        <f>F30</f>
        <v>0</v>
      </c>
      <c r="AE21">
        <f>H30</f>
        <v>1</v>
      </c>
      <c r="AF21">
        <f>J30</f>
        <v>0</v>
      </c>
      <c r="AG21">
        <f>L30</f>
        <v>0</v>
      </c>
    </row>
    <row r="22" spans="1:33">
      <c r="A22" s="32"/>
      <c r="B22" s="33"/>
      <c r="C22" s="36" t="s">
        <v>7</v>
      </c>
      <c r="D22" s="23"/>
      <c r="E22" s="36" t="s">
        <v>8</v>
      </c>
      <c r="F22" s="23"/>
      <c r="G22" s="36" t="s">
        <v>9</v>
      </c>
      <c r="H22" s="23"/>
      <c r="I22" s="36" t="s">
        <v>10</v>
      </c>
      <c r="J22" s="23"/>
      <c r="K22" s="36" t="s">
        <v>11</v>
      </c>
      <c r="L22" s="23"/>
    </row>
    <row r="23" spans="1:33">
      <c r="A23" s="32"/>
      <c r="B23" s="33"/>
      <c r="C23" s="1" t="s">
        <v>0</v>
      </c>
      <c r="D23">
        <v>10.199999999999999</v>
      </c>
      <c r="E23" s="1" t="s">
        <v>0</v>
      </c>
      <c r="F23" s="2">
        <v>11.2</v>
      </c>
      <c r="G23" s="1" t="s">
        <v>0</v>
      </c>
      <c r="H23" s="2">
        <v>10.8</v>
      </c>
      <c r="I23" s="1" t="s">
        <v>0</v>
      </c>
      <c r="J23" s="2">
        <v>11</v>
      </c>
      <c r="K23" s="1" t="s">
        <v>0</v>
      </c>
      <c r="L23" s="2">
        <v>9.3000000000000007</v>
      </c>
    </row>
    <row r="24" spans="1:33" ht="17" thickBot="1">
      <c r="A24" s="32"/>
      <c r="B24" s="33"/>
      <c r="C24" s="3" t="s">
        <v>1</v>
      </c>
      <c r="D24" s="4">
        <v>0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2">
        <v>0</v>
      </c>
    </row>
    <row r="25" spans="1:33">
      <c r="A25" s="32"/>
      <c r="B25" s="33"/>
      <c r="C25" s="36" t="s">
        <v>12</v>
      </c>
      <c r="D25" s="23"/>
      <c r="E25" s="36" t="s">
        <v>13</v>
      </c>
      <c r="F25" s="23"/>
      <c r="G25" s="36" t="s">
        <v>14</v>
      </c>
      <c r="H25" s="23"/>
      <c r="I25" s="36" t="s">
        <v>15</v>
      </c>
      <c r="J25" s="23"/>
      <c r="K25" s="36" t="s">
        <v>16</v>
      </c>
      <c r="L25" s="23"/>
    </row>
    <row r="26" spans="1:33">
      <c r="A26" s="32"/>
      <c r="B26" s="33"/>
      <c r="C26" s="1" t="s">
        <v>0</v>
      </c>
      <c r="D26" s="2">
        <v>10.199999999999999</v>
      </c>
      <c r="E26" s="1" t="s">
        <v>0</v>
      </c>
      <c r="F26" s="2">
        <v>10.4</v>
      </c>
      <c r="G26" s="1" t="s">
        <v>0</v>
      </c>
      <c r="H26" s="2">
        <v>9.8000000000000007</v>
      </c>
      <c r="I26" s="1" t="s">
        <v>0</v>
      </c>
      <c r="J26" s="2">
        <v>11</v>
      </c>
      <c r="K26" s="1" t="s">
        <v>0</v>
      </c>
      <c r="L26" s="2">
        <v>10.199999999999999</v>
      </c>
    </row>
    <row r="27" spans="1:33" ht="17" thickBot="1">
      <c r="A27" s="32"/>
      <c r="B27" s="33"/>
      <c r="C27" s="3" t="s">
        <v>1</v>
      </c>
      <c r="D27" s="4">
        <v>0</v>
      </c>
      <c r="E27" s="3" t="s">
        <v>1</v>
      </c>
      <c r="F27" s="4">
        <v>0</v>
      </c>
      <c r="G27" s="3" t="s">
        <v>1</v>
      </c>
      <c r="H27" s="4">
        <v>0</v>
      </c>
      <c r="I27" s="3" t="s">
        <v>1</v>
      </c>
      <c r="J27" s="4">
        <v>0</v>
      </c>
      <c r="K27" s="3" t="s">
        <v>1</v>
      </c>
      <c r="L27" s="4">
        <v>0</v>
      </c>
    </row>
    <row r="28" spans="1:33">
      <c r="A28" s="32"/>
      <c r="B28" s="33"/>
      <c r="C28" s="36" t="s">
        <v>17</v>
      </c>
      <c r="D28" s="23"/>
      <c r="E28" s="36" t="s">
        <v>18</v>
      </c>
      <c r="F28" s="23"/>
      <c r="G28" s="36" t="s">
        <v>19</v>
      </c>
      <c r="H28" s="23"/>
      <c r="I28" s="36" t="s">
        <v>20</v>
      </c>
      <c r="J28" s="23"/>
      <c r="K28" s="36" t="s">
        <v>21</v>
      </c>
      <c r="L28" s="23"/>
    </row>
    <row r="29" spans="1:33">
      <c r="A29" s="32"/>
      <c r="B29" s="33"/>
      <c r="C29" s="1" t="s">
        <v>0</v>
      </c>
      <c r="D29" s="2">
        <v>9.6</v>
      </c>
      <c r="E29" s="1" t="s">
        <v>0</v>
      </c>
      <c r="F29" s="2">
        <v>9.9</v>
      </c>
      <c r="G29" s="1" t="s">
        <v>0</v>
      </c>
      <c r="H29" s="2">
        <v>9.5</v>
      </c>
      <c r="I29" s="1" t="s">
        <v>0</v>
      </c>
      <c r="J29" s="2">
        <v>8</v>
      </c>
      <c r="K29" s="1" t="s">
        <v>0</v>
      </c>
      <c r="L29" s="2">
        <v>9.4</v>
      </c>
    </row>
    <row r="30" spans="1:33" ht="17" thickBot="1">
      <c r="A30" s="34"/>
      <c r="B30" s="35"/>
      <c r="C30" s="3" t="s">
        <v>1</v>
      </c>
      <c r="D30" s="4">
        <v>0</v>
      </c>
      <c r="E30" s="3" t="s">
        <v>1</v>
      </c>
      <c r="F30" s="4">
        <v>0</v>
      </c>
      <c r="G30" s="3" t="s">
        <v>1</v>
      </c>
      <c r="H30" s="4">
        <v>1</v>
      </c>
      <c r="I30" s="3" t="s">
        <v>1</v>
      </c>
      <c r="J30" s="4">
        <v>0</v>
      </c>
      <c r="K30" s="3" t="s">
        <v>1</v>
      </c>
      <c r="L30" s="4">
        <v>0</v>
      </c>
    </row>
  </sheetData>
  <mergeCells count="54">
    <mergeCell ref="K25:L25"/>
    <mergeCell ref="C28:D28"/>
    <mergeCell ref="E28:F28"/>
    <mergeCell ref="G28:H28"/>
    <mergeCell ref="I28:J28"/>
    <mergeCell ref="K28:L28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19:L19"/>
    <mergeCell ref="C22:D22"/>
    <mergeCell ref="E22:F22"/>
    <mergeCell ref="G22:H22"/>
    <mergeCell ref="I22:J22"/>
    <mergeCell ref="K22:L22"/>
    <mergeCell ref="A18:L18"/>
    <mergeCell ref="I9:J9"/>
    <mergeCell ref="K9:L9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3C8A-F7E8-9345-ABCF-AC59BAE13420}">
  <dimension ref="A1:AG30"/>
  <sheetViews>
    <sheetView topLeftCell="L1" workbookViewId="0">
      <selection activeCell="AG21" sqref="N21:AG21"/>
    </sheetView>
  </sheetViews>
  <sheetFormatPr baseColWidth="10" defaultRowHeight="16"/>
  <sheetData>
    <row r="1" spans="1:33" ht="16" customHeight="1">
      <c r="A1" s="17" t="s">
        <v>77</v>
      </c>
      <c r="B1" s="26"/>
      <c r="C1" s="36" t="s">
        <v>76</v>
      </c>
      <c r="D1" s="18"/>
      <c r="E1" s="18"/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43" t="s">
        <v>74</v>
      </c>
      <c r="F2" s="44"/>
      <c r="G2" s="44"/>
      <c r="H2" s="45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46" t="s">
        <v>72</v>
      </c>
      <c r="F3" s="44"/>
      <c r="G3" s="44"/>
      <c r="H3" s="45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49">
        <v>200</v>
      </c>
      <c r="F4" s="50"/>
      <c r="G4" s="50"/>
      <c r="H4" s="51"/>
      <c r="I4" s="29"/>
      <c r="J4" s="29"/>
      <c r="K4" s="29"/>
      <c r="L4" s="35"/>
    </row>
    <row r="5" spans="1:33" ht="17" thickBo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33">
      <c r="A6" s="30" t="s">
        <v>28</v>
      </c>
      <c r="B6" s="31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32"/>
      <c r="B7" s="33"/>
      <c r="C7" s="1" t="s">
        <v>0</v>
      </c>
      <c r="D7" s="2">
        <v>7.1</v>
      </c>
      <c r="E7" s="1" t="s">
        <v>0</v>
      </c>
      <c r="F7" s="2">
        <v>6.3</v>
      </c>
      <c r="G7" s="1" t="s">
        <v>0</v>
      </c>
      <c r="H7" s="2">
        <v>6.3</v>
      </c>
      <c r="I7" s="1" t="s">
        <v>0</v>
      </c>
      <c r="J7" s="2">
        <v>8.1</v>
      </c>
      <c r="K7" s="1" t="s">
        <v>0</v>
      </c>
      <c r="L7" s="2">
        <v>7.4</v>
      </c>
      <c r="N7">
        <f>D7</f>
        <v>7.1</v>
      </c>
      <c r="O7">
        <f>F7</f>
        <v>6.3</v>
      </c>
      <c r="P7">
        <f>H7</f>
        <v>6.3</v>
      </c>
      <c r="Q7">
        <f>J7</f>
        <v>8.1</v>
      </c>
      <c r="R7">
        <f>L7</f>
        <v>7.4</v>
      </c>
      <c r="S7">
        <f>D10</f>
        <v>5.7</v>
      </c>
      <c r="T7">
        <f>F10</f>
        <v>6.3</v>
      </c>
      <c r="U7">
        <f>H10</f>
        <v>5.4</v>
      </c>
      <c r="V7">
        <f>J10</f>
        <v>7.4</v>
      </c>
      <c r="W7">
        <f>L10</f>
        <v>6.4</v>
      </c>
      <c r="X7">
        <f>D13</f>
        <v>0</v>
      </c>
      <c r="Y7">
        <f>F13</f>
        <v>0</v>
      </c>
      <c r="Z7">
        <f>H13</f>
        <v>0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32"/>
      <c r="B8" s="33"/>
      <c r="C8" s="3" t="s">
        <v>1</v>
      </c>
      <c r="D8" s="4">
        <v>0</v>
      </c>
      <c r="E8" s="3" t="s">
        <v>1</v>
      </c>
      <c r="F8" s="4">
        <v>0</v>
      </c>
      <c r="G8" s="3" t="s">
        <v>1</v>
      </c>
      <c r="H8" s="4">
        <v>0</v>
      </c>
      <c r="I8" s="3" t="s">
        <v>1</v>
      </c>
      <c r="J8" s="4">
        <v>1</v>
      </c>
      <c r="K8" s="3" t="s">
        <v>1</v>
      </c>
      <c r="L8" s="4">
        <v>0</v>
      </c>
      <c r="N8">
        <f>D8</f>
        <v>0</v>
      </c>
      <c r="O8">
        <f>F8</f>
        <v>0</v>
      </c>
      <c r="P8">
        <f>H8</f>
        <v>0</v>
      </c>
      <c r="Q8">
        <f>J8</f>
        <v>1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32"/>
      <c r="B9" s="33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32"/>
      <c r="B10" s="33"/>
      <c r="C10" s="1" t="s">
        <v>0</v>
      </c>
      <c r="D10" s="2">
        <v>5.7</v>
      </c>
      <c r="E10" s="1" t="s">
        <v>0</v>
      </c>
      <c r="F10" s="2">
        <v>6.3</v>
      </c>
      <c r="G10" s="1" t="s">
        <v>0</v>
      </c>
      <c r="H10" s="2">
        <v>5.4</v>
      </c>
      <c r="I10" s="1" t="s">
        <v>0</v>
      </c>
      <c r="J10" s="2">
        <v>7.4</v>
      </c>
      <c r="K10" s="1" t="s">
        <v>0</v>
      </c>
      <c r="L10" s="2">
        <v>6.4</v>
      </c>
    </row>
    <row r="11" spans="1:33" ht="17" thickBot="1">
      <c r="A11" s="32"/>
      <c r="B11" s="33"/>
      <c r="C11" s="3" t="s">
        <v>1</v>
      </c>
      <c r="D11" s="4">
        <v>0</v>
      </c>
      <c r="E11" s="3" t="s">
        <v>1</v>
      </c>
      <c r="F11" s="4">
        <v>0</v>
      </c>
      <c r="G11" s="3" t="s">
        <v>1</v>
      </c>
      <c r="H11" s="4">
        <v>0</v>
      </c>
      <c r="I11" s="3" t="s">
        <v>1</v>
      </c>
      <c r="J11" s="4">
        <v>0</v>
      </c>
      <c r="K11" s="3" t="s">
        <v>1</v>
      </c>
      <c r="L11" s="4">
        <v>0</v>
      </c>
    </row>
    <row r="12" spans="1:33">
      <c r="A12" s="32"/>
      <c r="B12" s="33"/>
      <c r="C12" s="36" t="s">
        <v>12</v>
      </c>
      <c r="D12" s="23"/>
      <c r="E12" s="36" t="s">
        <v>13</v>
      </c>
      <c r="F12" s="23"/>
      <c r="G12" s="36" t="s">
        <v>14</v>
      </c>
      <c r="H12" s="23"/>
      <c r="I12" s="36" t="s">
        <v>15</v>
      </c>
      <c r="J12" s="23"/>
      <c r="K12" s="36" t="s">
        <v>16</v>
      </c>
      <c r="L12" s="23"/>
    </row>
    <row r="13" spans="1:33">
      <c r="A13" s="32"/>
      <c r="B13" s="33"/>
      <c r="C13" s="1" t="s">
        <v>0</v>
      </c>
      <c r="D13" s="2"/>
      <c r="E13" s="1" t="s">
        <v>0</v>
      </c>
      <c r="F13" s="2"/>
      <c r="G13" s="1" t="s">
        <v>0</v>
      </c>
      <c r="H13" s="2"/>
      <c r="I13" s="1" t="s">
        <v>0</v>
      </c>
      <c r="J13" s="2"/>
      <c r="K13" s="1" t="s">
        <v>0</v>
      </c>
      <c r="L13" s="2"/>
    </row>
    <row r="14" spans="1:33" ht="17" thickBot="1">
      <c r="A14" s="32"/>
      <c r="B14" s="33"/>
      <c r="C14" s="3" t="s">
        <v>1</v>
      </c>
      <c r="D14" s="4"/>
      <c r="E14" s="3" t="s">
        <v>1</v>
      </c>
      <c r="F14" s="4"/>
      <c r="G14" s="3" t="s">
        <v>1</v>
      </c>
      <c r="H14" s="4"/>
      <c r="I14" s="3" t="s">
        <v>1</v>
      </c>
      <c r="J14" s="4"/>
      <c r="K14" s="3" t="s">
        <v>1</v>
      </c>
      <c r="L14" s="4"/>
    </row>
    <row r="15" spans="1:33">
      <c r="A15" s="32"/>
      <c r="B15" s="33"/>
      <c r="C15" s="36" t="s">
        <v>17</v>
      </c>
      <c r="D15" s="23"/>
      <c r="E15" s="36" t="s">
        <v>18</v>
      </c>
      <c r="F15" s="23"/>
      <c r="G15" s="36" t="s">
        <v>19</v>
      </c>
      <c r="H15" s="23"/>
      <c r="I15" s="36" t="s">
        <v>20</v>
      </c>
      <c r="J15" s="23"/>
      <c r="K15" s="36" t="s">
        <v>21</v>
      </c>
      <c r="L15" s="23"/>
    </row>
    <row r="16" spans="1:33">
      <c r="A16" s="32"/>
      <c r="B16" s="33"/>
      <c r="C16" s="1" t="s">
        <v>0</v>
      </c>
      <c r="D16" s="2"/>
      <c r="E16" s="1" t="s">
        <v>0</v>
      </c>
      <c r="F16" s="2"/>
      <c r="G16" s="1" t="s">
        <v>0</v>
      </c>
      <c r="H16" s="2"/>
      <c r="I16" s="1" t="s">
        <v>0</v>
      </c>
      <c r="J16" s="2"/>
      <c r="K16" s="1" t="s">
        <v>0</v>
      </c>
      <c r="L16" s="2"/>
    </row>
    <row r="17" spans="1:33" ht="17" thickBot="1">
      <c r="A17" s="34"/>
      <c r="B17" s="35"/>
      <c r="C17" s="3" t="s">
        <v>1</v>
      </c>
      <c r="D17" s="4"/>
      <c r="E17" s="3" t="s">
        <v>1</v>
      </c>
      <c r="F17" s="4"/>
      <c r="G17" s="3" t="s">
        <v>1</v>
      </c>
      <c r="H17" s="4"/>
      <c r="I17" s="3" t="s">
        <v>1</v>
      </c>
      <c r="J17" s="4"/>
      <c r="K17" s="3" t="s">
        <v>1</v>
      </c>
      <c r="L17" s="4"/>
    </row>
    <row r="18" spans="1:33" ht="17" thickBot="1">
      <c r="A18" s="3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3"/>
    </row>
    <row r="19" spans="1:33">
      <c r="A19" s="30" t="s">
        <v>22</v>
      </c>
      <c r="B19" s="31"/>
      <c r="C19" s="36" t="s">
        <v>2</v>
      </c>
      <c r="D19" s="23"/>
      <c r="E19" s="36" t="s">
        <v>3</v>
      </c>
      <c r="F19" s="23"/>
      <c r="G19" s="36" t="s">
        <v>4</v>
      </c>
      <c r="H19" s="23"/>
      <c r="I19" s="36" t="s">
        <v>5</v>
      </c>
      <c r="J19" s="23"/>
      <c r="K19" s="36" t="s">
        <v>6</v>
      </c>
      <c r="L19" s="23"/>
    </row>
    <row r="20" spans="1:33">
      <c r="A20" s="32"/>
      <c r="B20" s="33"/>
      <c r="C20" s="1" t="s">
        <v>0</v>
      </c>
      <c r="D20" s="2">
        <v>25.9</v>
      </c>
      <c r="E20" s="1" t="s">
        <v>0</v>
      </c>
      <c r="F20" s="2">
        <v>27.1</v>
      </c>
      <c r="G20" s="1" t="s">
        <v>0</v>
      </c>
      <c r="H20" s="2">
        <v>24.1</v>
      </c>
      <c r="I20" s="1" t="s">
        <v>0</v>
      </c>
      <c r="J20" s="2">
        <v>23.7</v>
      </c>
      <c r="K20" s="1" t="s">
        <v>0</v>
      </c>
      <c r="L20" s="2">
        <v>19.899999999999999</v>
      </c>
      <c r="N20">
        <f>D20</f>
        <v>25.9</v>
      </c>
      <c r="O20">
        <f>F20</f>
        <v>27.1</v>
      </c>
      <c r="P20">
        <f>H20</f>
        <v>24.1</v>
      </c>
      <c r="Q20">
        <f>J20</f>
        <v>23.7</v>
      </c>
      <c r="R20">
        <f>L20</f>
        <v>19.899999999999999</v>
      </c>
      <c r="S20">
        <f>D23</f>
        <v>21.9</v>
      </c>
      <c r="T20">
        <f>F23</f>
        <v>17.8</v>
      </c>
      <c r="U20">
        <f>H23</f>
        <v>19.899999999999999</v>
      </c>
      <c r="V20">
        <f>J23</f>
        <v>20.9</v>
      </c>
      <c r="W20">
        <f>L23</f>
        <v>16.399999999999999</v>
      </c>
      <c r="X20">
        <f>D26</f>
        <v>22.4</v>
      </c>
      <c r="Y20">
        <f>F26</f>
        <v>15</v>
      </c>
      <c r="Z20">
        <f>H26</f>
        <v>15.8</v>
      </c>
      <c r="AA20">
        <f>J26</f>
        <v>15</v>
      </c>
      <c r="AB20">
        <f>L26</f>
        <v>14.4</v>
      </c>
      <c r="AC20">
        <f>D29</f>
        <v>17</v>
      </c>
      <c r="AD20">
        <f>F29</f>
        <v>15.6</v>
      </c>
      <c r="AE20">
        <f>H29</f>
        <v>18.2</v>
      </c>
      <c r="AF20">
        <f>J29</f>
        <v>16.2</v>
      </c>
      <c r="AG20">
        <f>L29</f>
        <v>14.9</v>
      </c>
    </row>
    <row r="21" spans="1:33" ht="17" thickBot="1">
      <c r="A21" s="32"/>
      <c r="B21" s="33"/>
      <c r="C21" s="3" t="s">
        <v>1</v>
      </c>
      <c r="D21" s="4">
        <v>0</v>
      </c>
      <c r="E21" s="3" t="s">
        <v>1</v>
      </c>
      <c r="F21" s="4">
        <v>1</v>
      </c>
      <c r="G21" s="3" t="s">
        <v>1</v>
      </c>
      <c r="H21" s="4">
        <v>0</v>
      </c>
      <c r="I21" s="3" t="s">
        <v>1</v>
      </c>
      <c r="J21" s="4">
        <v>0</v>
      </c>
      <c r="K21" s="3" t="s">
        <v>1</v>
      </c>
      <c r="L21" s="4">
        <v>0</v>
      </c>
      <c r="N21">
        <f>D21</f>
        <v>0</v>
      </c>
      <c r="O21">
        <f>F21</f>
        <v>1</v>
      </c>
      <c r="P21">
        <f>H21</f>
        <v>0</v>
      </c>
      <c r="Q21">
        <f>J21</f>
        <v>0</v>
      </c>
      <c r="R21">
        <f>L21</f>
        <v>0</v>
      </c>
      <c r="S21">
        <f>D24</f>
        <v>1</v>
      </c>
      <c r="T21">
        <f>F24</f>
        <v>0</v>
      </c>
      <c r="U21">
        <f>H24</f>
        <v>0</v>
      </c>
      <c r="V21">
        <f>J24</f>
        <v>0</v>
      </c>
      <c r="W21">
        <f>L24</f>
        <v>0</v>
      </c>
      <c r="X21">
        <f>D27</f>
        <v>0</v>
      </c>
      <c r="Y21">
        <f>F27</f>
        <v>0</v>
      </c>
      <c r="Z21">
        <f>H27</f>
        <v>0</v>
      </c>
      <c r="AA21">
        <f>J27</f>
        <v>1</v>
      </c>
      <c r="AB21">
        <f>L27</f>
        <v>0</v>
      </c>
      <c r="AC21">
        <f>D30</f>
        <v>0</v>
      </c>
      <c r="AD21">
        <f>F30</f>
        <v>0</v>
      </c>
      <c r="AE21">
        <f>H30</f>
        <v>0</v>
      </c>
      <c r="AF21">
        <f>J30</f>
        <v>0</v>
      </c>
      <c r="AG21">
        <f>L30</f>
        <v>1</v>
      </c>
    </row>
    <row r="22" spans="1:33">
      <c r="A22" s="32"/>
      <c r="B22" s="33"/>
      <c r="C22" s="36" t="s">
        <v>7</v>
      </c>
      <c r="D22" s="23"/>
      <c r="E22" s="36" t="s">
        <v>8</v>
      </c>
      <c r="F22" s="23"/>
      <c r="G22" s="36" t="s">
        <v>9</v>
      </c>
      <c r="H22" s="23"/>
      <c r="I22" s="36" t="s">
        <v>10</v>
      </c>
      <c r="J22" s="23"/>
      <c r="K22" s="36" t="s">
        <v>11</v>
      </c>
      <c r="L22" s="23"/>
    </row>
    <row r="23" spans="1:33">
      <c r="A23" s="32"/>
      <c r="B23" s="33"/>
      <c r="C23" s="1" t="s">
        <v>0</v>
      </c>
      <c r="D23" s="2">
        <v>21.9</v>
      </c>
      <c r="E23" s="1" t="s">
        <v>0</v>
      </c>
      <c r="F23" s="2">
        <v>17.8</v>
      </c>
      <c r="G23" s="1" t="s">
        <v>0</v>
      </c>
      <c r="H23" s="2">
        <v>19.899999999999999</v>
      </c>
      <c r="I23" s="1" t="s">
        <v>0</v>
      </c>
      <c r="J23" s="2">
        <v>20.9</v>
      </c>
      <c r="K23" s="1" t="s">
        <v>0</v>
      </c>
      <c r="L23" s="2">
        <v>16.399999999999999</v>
      </c>
    </row>
    <row r="24" spans="1:33" ht="17" thickBot="1">
      <c r="A24" s="32"/>
      <c r="B24" s="33"/>
      <c r="C24" s="3" t="s">
        <v>1</v>
      </c>
      <c r="D24" s="4">
        <v>1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0</v>
      </c>
    </row>
    <row r="25" spans="1:33">
      <c r="A25" s="32"/>
      <c r="B25" s="33"/>
      <c r="C25" s="36" t="s">
        <v>12</v>
      </c>
      <c r="D25" s="23"/>
      <c r="E25" s="36" t="s">
        <v>13</v>
      </c>
      <c r="F25" s="23"/>
      <c r="G25" s="36" t="s">
        <v>14</v>
      </c>
      <c r="H25" s="23"/>
      <c r="I25" s="36" t="s">
        <v>15</v>
      </c>
      <c r="J25" s="23"/>
      <c r="K25" s="36" t="s">
        <v>16</v>
      </c>
      <c r="L25" s="23"/>
    </row>
    <row r="26" spans="1:33">
      <c r="A26" s="32"/>
      <c r="B26" s="33"/>
      <c r="C26" s="1" t="s">
        <v>0</v>
      </c>
      <c r="D26" s="2">
        <v>22.4</v>
      </c>
      <c r="E26" s="1" t="s">
        <v>0</v>
      </c>
      <c r="F26" s="2">
        <v>15</v>
      </c>
      <c r="G26" s="1" t="s">
        <v>0</v>
      </c>
      <c r="H26" s="2">
        <v>15.8</v>
      </c>
      <c r="I26" s="1" t="s">
        <v>0</v>
      </c>
      <c r="J26" s="2">
        <v>15</v>
      </c>
      <c r="K26" s="1" t="s">
        <v>0</v>
      </c>
      <c r="L26" s="2">
        <v>14.4</v>
      </c>
    </row>
    <row r="27" spans="1:33" ht="17" thickBot="1">
      <c r="A27" s="32"/>
      <c r="B27" s="33"/>
      <c r="C27" s="3" t="s">
        <v>1</v>
      </c>
      <c r="D27" s="4">
        <v>0</v>
      </c>
      <c r="E27" s="3" t="s">
        <v>1</v>
      </c>
      <c r="F27" s="4">
        <v>0</v>
      </c>
      <c r="G27" s="3" t="s">
        <v>1</v>
      </c>
      <c r="H27" s="4">
        <v>0</v>
      </c>
      <c r="I27" s="3" t="s">
        <v>1</v>
      </c>
      <c r="J27" s="4">
        <v>1</v>
      </c>
      <c r="K27" s="3" t="s">
        <v>1</v>
      </c>
      <c r="L27" s="4">
        <v>0</v>
      </c>
    </row>
    <row r="28" spans="1:33">
      <c r="A28" s="32"/>
      <c r="B28" s="33"/>
      <c r="C28" s="36" t="s">
        <v>17</v>
      </c>
      <c r="D28" s="23"/>
      <c r="E28" s="36" t="s">
        <v>18</v>
      </c>
      <c r="F28" s="23"/>
      <c r="G28" s="36" t="s">
        <v>19</v>
      </c>
      <c r="H28" s="23"/>
      <c r="I28" s="36" t="s">
        <v>20</v>
      </c>
      <c r="J28" s="23"/>
      <c r="K28" s="36" t="s">
        <v>21</v>
      </c>
      <c r="L28" s="23"/>
    </row>
    <row r="29" spans="1:33">
      <c r="A29" s="32"/>
      <c r="B29" s="33"/>
      <c r="C29" s="1" t="s">
        <v>0</v>
      </c>
      <c r="D29" s="2">
        <v>17</v>
      </c>
      <c r="E29" s="1" t="s">
        <v>0</v>
      </c>
      <c r="F29" s="2">
        <v>15.6</v>
      </c>
      <c r="G29" s="1" t="s">
        <v>0</v>
      </c>
      <c r="H29" s="2">
        <v>18.2</v>
      </c>
      <c r="I29" s="1" t="s">
        <v>0</v>
      </c>
      <c r="J29" s="2">
        <v>16.2</v>
      </c>
      <c r="K29" s="1" t="s">
        <v>0</v>
      </c>
      <c r="L29" s="2">
        <v>14.9</v>
      </c>
    </row>
    <row r="30" spans="1:33" ht="17" thickBot="1">
      <c r="A30" s="34"/>
      <c r="B30" s="35"/>
      <c r="C30" s="3" t="s">
        <v>1</v>
      </c>
      <c r="D30" s="4">
        <v>0</v>
      </c>
      <c r="E30" s="3" t="s">
        <v>1</v>
      </c>
      <c r="F30" s="4">
        <v>0</v>
      </c>
      <c r="G30" s="3" t="s">
        <v>1</v>
      </c>
      <c r="H30" s="4">
        <v>0</v>
      </c>
      <c r="I30" s="3" t="s">
        <v>1</v>
      </c>
      <c r="J30" s="4">
        <v>0</v>
      </c>
      <c r="K30" s="3" t="s">
        <v>1</v>
      </c>
      <c r="L30" s="4">
        <v>1</v>
      </c>
    </row>
  </sheetData>
  <mergeCells count="54">
    <mergeCell ref="K25:L25"/>
    <mergeCell ref="C28:D28"/>
    <mergeCell ref="E28:F28"/>
    <mergeCell ref="G28:H28"/>
    <mergeCell ref="I28:J28"/>
    <mergeCell ref="K28:L28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19:L19"/>
    <mergeCell ref="C22:D22"/>
    <mergeCell ref="E22:F22"/>
    <mergeCell ref="G22:H22"/>
    <mergeCell ref="I22:J22"/>
    <mergeCell ref="K22:L22"/>
    <mergeCell ref="A18:L18"/>
    <mergeCell ref="I9:J9"/>
    <mergeCell ref="K9:L9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E4:H4"/>
    <mergeCell ref="A1:B4"/>
    <mergeCell ref="C1:D1"/>
    <mergeCell ref="E1:H1"/>
    <mergeCell ref="I1:L4"/>
    <mergeCell ref="C2:D2"/>
    <mergeCell ref="E2:H2"/>
    <mergeCell ref="C3:D3"/>
    <mergeCell ref="E3:H3"/>
    <mergeCell ref="C4:D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892C-8726-754F-9C0F-34968760408C}">
  <dimension ref="A1:AG30"/>
  <sheetViews>
    <sheetView topLeftCell="G1" workbookViewId="0">
      <selection activeCell="N7" sqref="N7:W7"/>
    </sheetView>
  </sheetViews>
  <sheetFormatPr baseColWidth="10" defaultRowHeight="16"/>
  <sheetData>
    <row r="1" spans="1:33" ht="16" customHeight="1">
      <c r="A1" s="76" t="s">
        <v>67</v>
      </c>
      <c r="B1" s="77"/>
      <c r="C1" s="52" t="s">
        <v>66</v>
      </c>
      <c r="D1" s="53"/>
      <c r="E1" s="54"/>
      <c r="F1" s="55"/>
      <c r="G1" s="55"/>
      <c r="H1" s="56"/>
      <c r="I1" s="57"/>
      <c r="J1" s="58"/>
      <c r="K1" s="58"/>
      <c r="L1" s="59"/>
    </row>
    <row r="2" spans="1:33">
      <c r="A2" s="78"/>
      <c r="B2" s="79"/>
      <c r="C2" s="66" t="s">
        <v>64</v>
      </c>
      <c r="D2" s="67"/>
      <c r="E2" s="68" t="s">
        <v>102</v>
      </c>
      <c r="F2" s="69"/>
      <c r="G2" s="69"/>
      <c r="H2" s="70"/>
      <c r="I2" s="60"/>
      <c r="J2" s="61"/>
      <c r="K2" s="61"/>
      <c r="L2" s="62"/>
    </row>
    <row r="3" spans="1:33">
      <c r="A3" s="78"/>
      <c r="B3" s="79"/>
      <c r="C3" s="66" t="s">
        <v>63</v>
      </c>
      <c r="D3" s="67"/>
      <c r="E3" s="68" t="s">
        <v>103</v>
      </c>
      <c r="F3" s="69"/>
      <c r="G3" s="69"/>
      <c r="H3" s="70"/>
      <c r="I3" s="60"/>
      <c r="J3" s="61"/>
      <c r="K3" s="61"/>
      <c r="L3" s="62"/>
    </row>
    <row r="4" spans="1:33" ht="17" thickBot="1">
      <c r="A4" s="80"/>
      <c r="B4" s="81"/>
      <c r="C4" s="71" t="s">
        <v>61</v>
      </c>
      <c r="D4" s="72"/>
      <c r="E4" s="73">
        <v>220</v>
      </c>
      <c r="F4" s="74"/>
      <c r="G4" s="74"/>
      <c r="H4" s="75"/>
      <c r="I4" s="63"/>
      <c r="J4" s="64"/>
      <c r="K4" s="64"/>
      <c r="L4" s="65"/>
    </row>
    <row r="5" spans="1:33" ht="17" thickBo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33" ht="16" customHeight="1">
      <c r="A6" s="30" t="s">
        <v>28</v>
      </c>
      <c r="B6" s="31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32"/>
      <c r="B7" s="33"/>
      <c r="C7" s="1" t="s">
        <v>0</v>
      </c>
      <c r="D7" s="2">
        <v>13.8</v>
      </c>
      <c r="E7" s="1" t="s">
        <v>0</v>
      </c>
      <c r="F7" s="2">
        <v>14.2</v>
      </c>
      <c r="G7" s="1" t="s">
        <v>0</v>
      </c>
      <c r="H7" s="2">
        <v>12.6</v>
      </c>
      <c r="I7" s="1" t="s">
        <v>0</v>
      </c>
      <c r="J7" s="2">
        <v>8.1</v>
      </c>
      <c r="K7" s="1" t="s">
        <v>0</v>
      </c>
      <c r="L7" s="2">
        <v>11</v>
      </c>
      <c r="N7">
        <f>D7</f>
        <v>13.8</v>
      </c>
      <c r="O7">
        <f>F7</f>
        <v>14.2</v>
      </c>
      <c r="P7">
        <f>H7</f>
        <v>12.6</v>
      </c>
      <c r="Q7">
        <f>J7</f>
        <v>8.1</v>
      </c>
      <c r="R7">
        <f>L7</f>
        <v>11</v>
      </c>
      <c r="S7">
        <f>D10</f>
        <v>9</v>
      </c>
      <c r="T7">
        <f>F10</f>
        <v>9</v>
      </c>
      <c r="U7">
        <f>H10</f>
        <v>12.2</v>
      </c>
      <c r="V7">
        <f>J10</f>
        <v>8.1</v>
      </c>
      <c r="W7">
        <f>L10</f>
        <v>10.3</v>
      </c>
      <c r="X7">
        <f>D13</f>
        <v>8.1</v>
      </c>
      <c r="Y7">
        <f>F13</f>
        <v>10.9</v>
      </c>
      <c r="Z7">
        <f>H13</f>
        <v>9.1</v>
      </c>
      <c r="AA7">
        <f>J13</f>
        <v>8.6999999999999993</v>
      </c>
      <c r="AB7">
        <f>L13</f>
        <v>7.4</v>
      </c>
      <c r="AC7">
        <f>D16</f>
        <v>7.5</v>
      </c>
      <c r="AD7">
        <f>F16</f>
        <v>7.6</v>
      </c>
      <c r="AE7">
        <f>H16</f>
        <v>8.4</v>
      </c>
      <c r="AF7">
        <f>J16</f>
        <v>9.1</v>
      </c>
      <c r="AG7">
        <f>L16</f>
        <v>9.8000000000000007</v>
      </c>
    </row>
    <row r="8" spans="1:33" ht="17" thickBot="1">
      <c r="A8" s="32"/>
      <c r="B8" s="33"/>
      <c r="C8" s="3" t="s">
        <v>1</v>
      </c>
      <c r="D8" s="4">
        <v>1</v>
      </c>
      <c r="E8" s="3" t="s">
        <v>1</v>
      </c>
      <c r="F8" s="4">
        <v>2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0</v>
      </c>
      <c r="N8">
        <f>D8</f>
        <v>1</v>
      </c>
      <c r="O8">
        <f>F8</f>
        <v>2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32"/>
      <c r="B9" s="33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32"/>
      <c r="B10" s="33"/>
      <c r="C10" s="1" t="s">
        <v>0</v>
      </c>
      <c r="D10">
        <v>9</v>
      </c>
      <c r="E10" s="1" t="s">
        <v>0</v>
      </c>
      <c r="F10" s="2">
        <v>9</v>
      </c>
      <c r="G10" s="1" t="s">
        <v>0</v>
      </c>
      <c r="H10" s="2">
        <v>12.2</v>
      </c>
      <c r="I10" s="1" t="s">
        <v>0</v>
      </c>
      <c r="J10" s="2">
        <v>8.1</v>
      </c>
      <c r="K10" s="1" t="s">
        <v>0</v>
      </c>
      <c r="L10" s="2">
        <v>10.3</v>
      </c>
    </row>
    <row r="11" spans="1:33" ht="17" thickBot="1">
      <c r="A11" s="32"/>
      <c r="B11" s="33"/>
      <c r="C11" s="3" t="s">
        <v>1</v>
      </c>
      <c r="D11" s="4">
        <v>0</v>
      </c>
      <c r="E11" s="3" t="s">
        <v>1</v>
      </c>
      <c r="F11" s="4">
        <v>0</v>
      </c>
      <c r="G11" s="3" t="s">
        <v>1</v>
      </c>
      <c r="H11" s="4">
        <v>0</v>
      </c>
      <c r="I11" s="3" t="s">
        <v>1</v>
      </c>
      <c r="J11" s="4">
        <v>0</v>
      </c>
      <c r="K11" s="3" t="s">
        <v>1</v>
      </c>
      <c r="L11" s="4">
        <v>0</v>
      </c>
    </row>
    <row r="12" spans="1:33">
      <c r="A12" s="32"/>
      <c r="B12" s="33"/>
      <c r="C12" s="36" t="s">
        <v>12</v>
      </c>
      <c r="D12" s="23"/>
      <c r="E12" s="36" t="s">
        <v>13</v>
      </c>
      <c r="F12" s="23"/>
      <c r="G12" s="36" t="s">
        <v>14</v>
      </c>
      <c r="H12" s="23"/>
      <c r="I12" s="36" t="s">
        <v>15</v>
      </c>
      <c r="J12" s="23"/>
      <c r="K12" s="36" t="s">
        <v>16</v>
      </c>
      <c r="L12" s="23"/>
    </row>
    <row r="13" spans="1:33">
      <c r="A13" s="32"/>
      <c r="B13" s="33"/>
      <c r="C13" s="1" t="s">
        <v>0</v>
      </c>
      <c r="D13" s="2">
        <v>8.1</v>
      </c>
      <c r="E13" s="1" t="s">
        <v>0</v>
      </c>
      <c r="F13" s="2">
        <v>10.9</v>
      </c>
      <c r="G13" s="1" t="s">
        <v>0</v>
      </c>
      <c r="H13" s="2">
        <v>9.1</v>
      </c>
      <c r="I13" s="1" t="s">
        <v>0</v>
      </c>
      <c r="J13" s="2">
        <v>8.6999999999999993</v>
      </c>
      <c r="K13" s="1" t="s">
        <v>0</v>
      </c>
      <c r="L13" s="2">
        <v>7.4</v>
      </c>
    </row>
    <row r="14" spans="1:33" ht="17" thickBot="1">
      <c r="A14" s="32"/>
      <c r="B14" s="33"/>
      <c r="C14" s="3" t="s">
        <v>1</v>
      </c>
      <c r="D14" s="4">
        <v>0</v>
      </c>
      <c r="E14" s="3" t="s">
        <v>1</v>
      </c>
      <c r="F14" s="4">
        <v>0</v>
      </c>
      <c r="G14" s="3" t="s">
        <v>1</v>
      </c>
      <c r="H14" s="4">
        <v>0</v>
      </c>
      <c r="I14" s="3" t="s">
        <v>1</v>
      </c>
      <c r="J14" s="4">
        <v>0</v>
      </c>
      <c r="K14" s="3" t="s">
        <v>1</v>
      </c>
      <c r="L14" s="4">
        <v>0</v>
      </c>
    </row>
    <row r="15" spans="1:33">
      <c r="A15" s="32"/>
      <c r="B15" s="33"/>
      <c r="C15" s="36" t="s">
        <v>17</v>
      </c>
      <c r="D15" s="23"/>
      <c r="E15" s="36" t="s">
        <v>18</v>
      </c>
      <c r="F15" s="23"/>
      <c r="G15" s="36" t="s">
        <v>19</v>
      </c>
      <c r="H15" s="23"/>
      <c r="I15" s="36" t="s">
        <v>20</v>
      </c>
      <c r="J15" s="23"/>
      <c r="K15" s="36" t="s">
        <v>21</v>
      </c>
      <c r="L15" s="23"/>
    </row>
    <row r="16" spans="1:33">
      <c r="A16" s="32"/>
      <c r="B16" s="33"/>
      <c r="C16" s="1" t="s">
        <v>0</v>
      </c>
      <c r="D16" s="2">
        <v>7.5</v>
      </c>
      <c r="E16" s="1" t="s">
        <v>0</v>
      </c>
      <c r="F16" s="2">
        <v>7.6</v>
      </c>
      <c r="G16" s="1" t="s">
        <v>0</v>
      </c>
      <c r="H16" s="2">
        <v>8.4</v>
      </c>
      <c r="I16" s="1" t="s">
        <v>0</v>
      </c>
      <c r="J16" s="2">
        <v>9.1</v>
      </c>
      <c r="K16" s="1" t="s">
        <v>0</v>
      </c>
      <c r="L16" s="2">
        <v>9.8000000000000007</v>
      </c>
    </row>
    <row r="17" spans="1:33" ht="17" thickBot="1">
      <c r="A17" s="34"/>
      <c r="B17" s="35"/>
      <c r="C17" s="3" t="s">
        <v>1</v>
      </c>
      <c r="D17" s="4">
        <v>0</v>
      </c>
      <c r="E17" s="3" t="s">
        <v>1</v>
      </c>
      <c r="F17" s="4">
        <v>1</v>
      </c>
      <c r="G17" s="3" t="s">
        <v>1</v>
      </c>
      <c r="H17" s="4">
        <v>0</v>
      </c>
      <c r="I17" s="3" t="s">
        <v>1</v>
      </c>
      <c r="J17" s="4">
        <v>0</v>
      </c>
      <c r="K17" s="3" t="s">
        <v>1</v>
      </c>
      <c r="L17" s="4">
        <v>0</v>
      </c>
    </row>
    <row r="18" spans="1:33" ht="17" thickBot="1">
      <c r="A18" s="3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3"/>
    </row>
    <row r="19" spans="1:33">
      <c r="A19" s="30" t="s">
        <v>22</v>
      </c>
      <c r="B19" s="31"/>
      <c r="C19" s="36" t="s">
        <v>2</v>
      </c>
      <c r="D19" s="23"/>
      <c r="E19" s="36" t="s">
        <v>3</v>
      </c>
      <c r="F19" s="23"/>
      <c r="G19" s="36" t="s">
        <v>4</v>
      </c>
      <c r="H19" s="23"/>
      <c r="I19" s="36" t="s">
        <v>5</v>
      </c>
      <c r="J19" s="23"/>
      <c r="K19" s="36" t="s">
        <v>6</v>
      </c>
      <c r="L19" s="23"/>
    </row>
    <row r="20" spans="1:33">
      <c r="A20" s="32"/>
      <c r="B20" s="33"/>
      <c r="C20" s="1" t="s">
        <v>0</v>
      </c>
      <c r="D20" s="2">
        <v>22.9</v>
      </c>
      <c r="E20" s="1" t="s">
        <v>0</v>
      </c>
      <c r="F20" s="2">
        <v>18.7</v>
      </c>
      <c r="G20" s="1" t="s">
        <v>0</v>
      </c>
      <c r="H20" s="2">
        <v>15.2</v>
      </c>
      <c r="I20" s="1" t="s">
        <v>0</v>
      </c>
      <c r="J20" s="2">
        <v>19.7</v>
      </c>
      <c r="K20" s="1" t="s">
        <v>0</v>
      </c>
      <c r="L20" s="2">
        <v>18</v>
      </c>
      <c r="N20">
        <f>D20</f>
        <v>22.9</v>
      </c>
      <c r="O20">
        <f>F20</f>
        <v>18.7</v>
      </c>
      <c r="P20">
        <f>H20</f>
        <v>15.2</v>
      </c>
      <c r="Q20">
        <f>J20</f>
        <v>19.7</v>
      </c>
      <c r="R20">
        <f>L20</f>
        <v>18</v>
      </c>
      <c r="S20">
        <f>D23</f>
        <v>18.399999999999999</v>
      </c>
      <c r="T20">
        <f>F23</f>
        <v>20.5</v>
      </c>
      <c r="U20">
        <f>H23</f>
        <v>21.3</v>
      </c>
      <c r="V20">
        <f>J23</f>
        <v>19.2</v>
      </c>
      <c r="W20">
        <f>L23</f>
        <v>14.7</v>
      </c>
      <c r="X20">
        <f>D26</f>
        <v>15.8</v>
      </c>
      <c r="Y20">
        <f>F26</f>
        <v>15.3</v>
      </c>
      <c r="Z20">
        <f>H26</f>
        <v>15.2</v>
      </c>
      <c r="AA20">
        <f>J26</f>
        <v>14.7</v>
      </c>
      <c r="AB20">
        <f>L26</f>
        <v>14.9</v>
      </c>
      <c r="AC20">
        <f>D29</f>
        <v>18.7</v>
      </c>
      <c r="AD20">
        <f>F29</f>
        <v>23.2</v>
      </c>
      <c r="AE20">
        <f>H29</f>
        <v>21.8</v>
      </c>
      <c r="AF20">
        <f>J29</f>
        <v>16</v>
      </c>
      <c r="AG20">
        <f>L29</f>
        <v>15.2</v>
      </c>
    </row>
    <row r="21" spans="1:33" ht="17" thickBot="1">
      <c r="A21" s="32"/>
      <c r="B21" s="33"/>
      <c r="C21" s="3" t="s">
        <v>1</v>
      </c>
      <c r="D21" s="4">
        <v>4</v>
      </c>
      <c r="E21" s="3" t="s">
        <v>1</v>
      </c>
      <c r="F21" s="4">
        <v>0</v>
      </c>
      <c r="G21" s="3" t="s">
        <v>1</v>
      </c>
      <c r="H21" s="4">
        <v>1</v>
      </c>
      <c r="I21" s="3" t="s">
        <v>1</v>
      </c>
      <c r="J21" s="4">
        <v>1</v>
      </c>
      <c r="K21" s="3" t="s">
        <v>1</v>
      </c>
      <c r="L21" s="4">
        <v>2</v>
      </c>
      <c r="N21">
        <f>D21</f>
        <v>4</v>
      </c>
      <c r="O21">
        <f>F21</f>
        <v>0</v>
      </c>
      <c r="P21">
        <f>H21</f>
        <v>1</v>
      </c>
      <c r="Q21">
        <f>J21</f>
        <v>1</v>
      </c>
      <c r="R21">
        <f>L21</f>
        <v>2</v>
      </c>
      <c r="S21">
        <f>D24</f>
        <v>3</v>
      </c>
      <c r="T21">
        <f>F24</f>
        <v>1</v>
      </c>
      <c r="U21">
        <f>H24</f>
        <v>0</v>
      </c>
      <c r="V21">
        <f>J24</f>
        <v>0</v>
      </c>
      <c r="W21">
        <f>L24</f>
        <v>2</v>
      </c>
      <c r="X21">
        <f>D27</f>
        <v>1</v>
      </c>
      <c r="Y21">
        <f>F27</f>
        <v>0</v>
      </c>
      <c r="Z21">
        <f>H27</f>
        <v>2</v>
      </c>
      <c r="AA21">
        <f>J27</f>
        <v>1</v>
      </c>
      <c r="AB21">
        <f>L27</f>
        <v>0</v>
      </c>
      <c r="AC21">
        <f>D30</f>
        <v>1</v>
      </c>
      <c r="AD21">
        <f>F30</f>
        <v>0</v>
      </c>
      <c r="AE21">
        <f>H30</f>
        <v>1</v>
      </c>
      <c r="AF21">
        <f>J30</f>
        <v>0</v>
      </c>
      <c r="AG21">
        <f>L30</f>
        <v>1</v>
      </c>
    </row>
    <row r="22" spans="1:33">
      <c r="A22" s="32"/>
      <c r="B22" s="33"/>
      <c r="C22" s="36" t="s">
        <v>7</v>
      </c>
      <c r="D22" s="23"/>
      <c r="E22" s="36" t="s">
        <v>8</v>
      </c>
      <c r="F22" s="23"/>
      <c r="G22" s="36" t="s">
        <v>9</v>
      </c>
      <c r="H22" s="23"/>
      <c r="I22" s="36" t="s">
        <v>10</v>
      </c>
      <c r="J22" s="23"/>
      <c r="K22" s="36" t="s">
        <v>11</v>
      </c>
      <c r="L22" s="23"/>
    </row>
    <row r="23" spans="1:33">
      <c r="A23" s="32"/>
      <c r="B23" s="33"/>
      <c r="C23" s="1" t="s">
        <v>0</v>
      </c>
      <c r="D23" s="2">
        <v>18.399999999999999</v>
      </c>
      <c r="E23" s="1" t="s">
        <v>0</v>
      </c>
      <c r="F23" s="2">
        <v>20.5</v>
      </c>
      <c r="G23" s="1" t="s">
        <v>0</v>
      </c>
      <c r="H23" s="2">
        <v>21.3</v>
      </c>
      <c r="I23" s="1" t="s">
        <v>0</v>
      </c>
      <c r="J23" s="2">
        <v>19.2</v>
      </c>
      <c r="K23" s="1" t="s">
        <v>0</v>
      </c>
      <c r="L23" s="2">
        <v>14.7</v>
      </c>
    </row>
    <row r="24" spans="1:33" ht="17" thickBot="1">
      <c r="A24" s="32"/>
      <c r="B24" s="33"/>
      <c r="C24" s="3" t="s">
        <v>1</v>
      </c>
      <c r="D24" s="4">
        <v>3</v>
      </c>
      <c r="E24" s="3" t="s">
        <v>1</v>
      </c>
      <c r="F24" s="4">
        <v>1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2</v>
      </c>
    </row>
    <row r="25" spans="1:33">
      <c r="A25" s="32"/>
      <c r="B25" s="33"/>
      <c r="C25" s="36" t="s">
        <v>12</v>
      </c>
      <c r="D25" s="23"/>
      <c r="E25" s="36" t="s">
        <v>13</v>
      </c>
      <c r="F25" s="23"/>
      <c r="G25" s="36" t="s">
        <v>14</v>
      </c>
      <c r="H25" s="23"/>
      <c r="I25" s="36" t="s">
        <v>15</v>
      </c>
      <c r="J25" s="23"/>
      <c r="K25" s="36" t="s">
        <v>16</v>
      </c>
      <c r="L25" s="23"/>
    </row>
    <row r="26" spans="1:33">
      <c r="A26" s="32"/>
      <c r="B26" s="33"/>
      <c r="C26" s="1" t="s">
        <v>0</v>
      </c>
      <c r="D26" s="2">
        <v>15.8</v>
      </c>
      <c r="E26" s="1" t="s">
        <v>0</v>
      </c>
      <c r="F26" s="2">
        <v>15.3</v>
      </c>
      <c r="G26" s="1" t="s">
        <v>0</v>
      </c>
      <c r="H26" s="2">
        <v>15.2</v>
      </c>
      <c r="I26" s="1" t="s">
        <v>0</v>
      </c>
      <c r="J26" s="2">
        <v>14.7</v>
      </c>
      <c r="K26" s="1" t="s">
        <v>0</v>
      </c>
      <c r="L26" s="2">
        <v>14.9</v>
      </c>
    </row>
    <row r="27" spans="1:33" ht="17" thickBot="1">
      <c r="A27" s="32"/>
      <c r="B27" s="33"/>
      <c r="C27" s="3" t="s">
        <v>1</v>
      </c>
      <c r="D27" s="4">
        <v>1</v>
      </c>
      <c r="E27" s="3" t="s">
        <v>1</v>
      </c>
      <c r="F27" s="4">
        <v>0</v>
      </c>
      <c r="G27" s="3" t="s">
        <v>1</v>
      </c>
      <c r="H27" s="4">
        <v>2</v>
      </c>
      <c r="I27" s="3" t="s">
        <v>1</v>
      </c>
      <c r="J27" s="4">
        <v>1</v>
      </c>
      <c r="K27" s="3" t="s">
        <v>1</v>
      </c>
      <c r="L27" s="4">
        <v>0</v>
      </c>
    </row>
    <row r="28" spans="1:33">
      <c r="A28" s="32"/>
      <c r="B28" s="33"/>
      <c r="C28" s="36" t="s">
        <v>17</v>
      </c>
      <c r="D28" s="23"/>
      <c r="E28" s="36" t="s">
        <v>18</v>
      </c>
      <c r="F28" s="23"/>
      <c r="G28" s="36" t="s">
        <v>19</v>
      </c>
      <c r="H28" s="23"/>
      <c r="I28" s="36" t="s">
        <v>20</v>
      </c>
      <c r="J28" s="23"/>
      <c r="K28" s="36" t="s">
        <v>21</v>
      </c>
      <c r="L28" s="23"/>
    </row>
    <row r="29" spans="1:33">
      <c r="A29" s="32"/>
      <c r="B29" s="33"/>
      <c r="C29" s="1" t="s">
        <v>0</v>
      </c>
      <c r="D29" s="2">
        <v>18.7</v>
      </c>
      <c r="E29" s="1" t="s">
        <v>0</v>
      </c>
      <c r="F29" s="2">
        <v>23.2</v>
      </c>
      <c r="G29" s="1" t="s">
        <v>0</v>
      </c>
      <c r="H29" s="2">
        <v>21.8</v>
      </c>
      <c r="I29" s="1" t="s">
        <v>0</v>
      </c>
      <c r="J29" s="2">
        <v>16</v>
      </c>
      <c r="K29" s="1" t="s">
        <v>0</v>
      </c>
      <c r="L29" s="2">
        <v>15.2</v>
      </c>
    </row>
    <row r="30" spans="1:33" ht="17" thickBot="1">
      <c r="A30" s="34"/>
      <c r="B30" s="35"/>
      <c r="C30" s="3" t="s">
        <v>1</v>
      </c>
      <c r="D30" s="4">
        <v>1</v>
      </c>
      <c r="E30" s="3" t="s">
        <v>1</v>
      </c>
      <c r="F30" s="4">
        <v>0</v>
      </c>
      <c r="G30" s="3" t="s">
        <v>1</v>
      </c>
      <c r="H30" s="4">
        <v>1</v>
      </c>
      <c r="I30" s="3" t="s">
        <v>1</v>
      </c>
      <c r="J30" s="4">
        <v>0</v>
      </c>
      <c r="K30" s="3" t="s">
        <v>1</v>
      </c>
      <c r="L30" s="4">
        <v>1</v>
      </c>
    </row>
  </sheetData>
  <mergeCells count="54">
    <mergeCell ref="G12:H12"/>
    <mergeCell ref="I12:J12"/>
    <mergeCell ref="K12:L12"/>
    <mergeCell ref="C15:D15"/>
    <mergeCell ref="E15:F15"/>
    <mergeCell ref="G15:H15"/>
    <mergeCell ref="I15:J15"/>
    <mergeCell ref="K15:L15"/>
    <mergeCell ref="K25:L25"/>
    <mergeCell ref="C28:D28"/>
    <mergeCell ref="E28:F28"/>
    <mergeCell ref="G28:H28"/>
    <mergeCell ref="I28:J28"/>
    <mergeCell ref="K28:L28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19:L19"/>
    <mergeCell ref="C22:D22"/>
    <mergeCell ref="E22:F22"/>
    <mergeCell ref="G22:H22"/>
    <mergeCell ref="I22:J22"/>
    <mergeCell ref="K22:L22"/>
    <mergeCell ref="A18:L18"/>
    <mergeCell ref="A5:L5"/>
    <mergeCell ref="A6:B17"/>
    <mergeCell ref="A1:B4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C12:D12"/>
    <mergeCell ref="E12:F12"/>
    <mergeCell ref="C1:D1"/>
    <mergeCell ref="E1:H1"/>
    <mergeCell ref="I1:L4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D8D5-0FDB-9549-9A9C-597941B3302B}">
  <dimension ref="A1:AG30"/>
  <sheetViews>
    <sheetView topLeftCell="K1" workbookViewId="0">
      <selection activeCell="N21" sqref="N21:AG21"/>
    </sheetView>
  </sheetViews>
  <sheetFormatPr baseColWidth="10" defaultRowHeight="16"/>
  <sheetData>
    <row r="1" spans="1:33" ht="16" customHeight="1">
      <c r="A1" s="76" t="s">
        <v>67</v>
      </c>
      <c r="B1" s="77"/>
      <c r="C1" s="52" t="s">
        <v>66</v>
      </c>
      <c r="D1" s="53"/>
      <c r="E1" s="54"/>
      <c r="F1" s="55"/>
      <c r="G1" s="55"/>
      <c r="H1" s="56"/>
      <c r="I1" s="57"/>
      <c r="J1" s="58"/>
      <c r="K1" s="58"/>
      <c r="L1" s="59"/>
    </row>
    <row r="2" spans="1:33">
      <c r="A2" s="78"/>
      <c r="B2" s="79"/>
      <c r="C2" s="66" t="s">
        <v>64</v>
      </c>
      <c r="D2" s="67"/>
      <c r="E2" s="68" t="s">
        <v>102</v>
      </c>
      <c r="F2" s="69"/>
      <c r="G2" s="69"/>
      <c r="H2" s="70"/>
      <c r="I2" s="60"/>
      <c r="J2" s="61"/>
      <c r="K2" s="61"/>
      <c r="L2" s="62"/>
    </row>
    <row r="3" spans="1:33">
      <c r="A3" s="78"/>
      <c r="B3" s="79"/>
      <c r="C3" s="66" t="s">
        <v>63</v>
      </c>
      <c r="D3" s="67"/>
      <c r="E3" s="68" t="s">
        <v>103</v>
      </c>
      <c r="F3" s="69"/>
      <c r="G3" s="69"/>
      <c r="H3" s="70"/>
      <c r="I3" s="60"/>
      <c r="J3" s="61"/>
      <c r="K3" s="61"/>
      <c r="L3" s="62"/>
    </row>
    <row r="4" spans="1:33" ht="17" thickBot="1">
      <c r="A4" s="80"/>
      <c r="B4" s="81"/>
      <c r="C4" s="71" t="s">
        <v>61</v>
      </c>
      <c r="D4" s="72"/>
      <c r="E4" s="73">
        <v>170</v>
      </c>
      <c r="F4" s="74"/>
      <c r="G4" s="74"/>
      <c r="H4" s="75"/>
      <c r="I4" s="63"/>
      <c r="J4" s="64"/>
      <c r="K4" s="64"/>
      <c r="L4" s="65"/>
    </row>
    <row r="5" spans="1:33" ht="17" thickBo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33" ht="16" customHeight="1">
      <c r="A6" s="30" t="s">
        <v>28</v>
      </c>
      <c r="B6" s="31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32"/>
      <c r="B7" s="33"/>
      <c r="C7" s="1" t="s">
        <v>0</v>
      </c>
      <c r="D7" s="2">
        <v>11.1</v>
      </c>
      <c r="E7" s="1" t="s">
        <v>0</v>
      </c>
      <c r="F7" s="2">
        <v>9.8000000000000007</v>
      </c>
      <c r="G7" s="1" t="s">
        <v>0</v>
      </c>
      <c r="H7" s="2">
        <v>7.4</v>
      </c>
      <c r="I7" s="1" t="s">
        <v>0</v>
      </c>
      <c r="J7" s="2">
        <v>7.3</v>
      </c>
      <c r="K7" s="1" t="s">
        <v>0</v>
      </c>
      <c r="L7" s="2">
        <v>7.8</v>
      </c>
      <c r="N7">
        <f>D7</f>
        <v>11.1</v>
      </c>
      <c r="O7">
        <f>F7</f>
        <v>9.8000000000000007</v>
      </c>
      <c r="P7">
        <f>H7</f>
        <v>7.4</v>
      </c>
      <c r="Q7">
        <f>J7</f>
        <v>7.3</v>
      </c>
      <c r="R7">
        <f>L7</f>
        <v>7.8</v>
      </c>
      <c r="S7">
        <f>D10</f>
        <v>4.9000000000000004</v>
      </c>
      <c r="T7">
        <f>F10</f>
        <v>6.9</v>
      </c>
      <c r="U7">
        <f>H10</f>
        <v>5.2</v>
      </c>
      <c r="V7">
        <f>J10</f>
        <v>5.6</v>
      </c>
      <c r="W7">
        <f>L10</f>
        <v>6.1</v>
      </c>
      <c r="X7">
        <f>D13</f>
        <v>0</v>
      </c>
      <c r="Y7">
        <f>F13</f>
        <v>0</v>
      </c>
      <c r="Z7">
        <f>H13</f>
        <v>0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32"/>
      <c r="B8" s="33"/>
      <c r="C8" s="3" t="s">
        <v>1</v>
      </c>
      <c r="D8" s="4">
        <v>1</v>
      </c>
      <c r="E8" s="3" t="s">
        <v>1</v>
      </c>
      <c r="F8" s="4">
        <v>0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0</v>
      </c>
      <c r="N8">
        <f>D8</f>
        <v>1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1</v>
      </c>
      <c r="U8">
        <f>H11</f>
        <v>0</v>
      </c>
      <c r="V8">
        <f>J11</f>
        <v>0</v>
      </c>
      <c r="W8">
        <f>L11</f>
        <v>0</v>
      </c>
    </row>
    <row r="9" spans="1:33">
      <c r="A9" s="32"/>
      <c r="B9" s="33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32"/>
      <c r="B10" s="33"/>
      <c r="C10" s="1" t="s">
        <v>0</v>
      </c>
      <c r="D10" s="2">
        <v>4.9000000000000004</v>
      </c>
      <c r="E10" s="1" t="s">
        <v>0</v>
      </c>
      <c r="F10" s="2">
        <v>6.9</v>
      </c>
      <c r="G10" s="1" t="s">
        <v>0</v>
      </c>
      <c r="H10" s="2">
        <v>5.2</v>
      </c>
      <c r="I10" s="1" t="s">
        <v>0</v>
      </c>
      <c r="J10" s="2">
        <v>5.6</v>
      </c>
      <c r="K10" s="1" t="s">
        <v>0</v>
      </c>
      <c r="L10" s="2">
        <v>6.1</v>
      </c>
    </row>
    <row r="11" spans="1:33" ht="17" thickBot="1">
      <c r="A11" s="32"/>
      <c r="B11" s="33"/>
      <c r="C11" s="3" t="s">
        <v>1</v>
      </c>
      <c r="D11" s="4">
        <v>0</v>
      </c>
      <c r="E11" s="3" t="s">
        <v>1</v>
      </c>
      <c r="F11" s="4">
        <v>1</v>
      </c>
      <c r="G11" s="3" t="s">
        <v>1</v>
      </c>
      <c r="H11" s="4">
        <v>0</v>
      </c>
      <c r="I11" s="3" t="s">
        <v>1</v>
      </c>
      <c r="J11" s="4">
        <v>0</v>
      </c>
      <c r="K11" s="3" t="s">
        <v>1</v>
      </c>
      <c r="L11" s="4">
        <v>0</v>
      </c>
    </row>
    <row r="12" spans="1:33">
      <c r="A12" s="32"/>
      <c r="B12" s="33"/>
      <c r="C12" s="36" t="s">
        <v>12</v>
      </c>
      <c r="D12" s="23"/>
      <c r="E12" s="36" t="s">
        <v>13</v>
      </c>
      <c r="F12" s="23"/>
      <c r="G12" s="36" t="s">
        <v>14</v>
      </c>
      <c r="H12" s="23"/>
      <c r="I12" s="36" t="s">
        <v>15</v>
      </c>
      <c r="J12" s="23"/>
      <c r="K12" s="36" t="s">
        <v>16</v>
      </c>
      <c r="L12" s="23"/>
    </row>
    <row r="13" spans="1:33">
      <c r="A13" s="32"/>
      <c r="B13" s="33"/>
      <c r="C13" s="1" t="s">
        <v>0</v>
      </c>
      <c r="D13" s="2"/>
      <c r="E13" s="1" t="s">
        <v>0</v>
      </c>
      <c r="F13" s="2"/>
      <c r="G13" s="1" t="s">
        <v>0</v>
      </c>
      <c r="H13" s="2"/>
      <c r="I13" s="1" t="s">
        <v>0</v>
      </c>
      <c r="J13" s="2"/>
      <c r="K13" s="1" t="s">
        <v>0</v>
      </c>
      <c r="L13" s="2"/>
    </row>
    <row r="14" spans="1:33" ht="17" thickBot="1">
      <c r="A14" s="32"/>
      <c r="B14" s="33"/>
      <c r="C14" s="3" t="s">
        <v>1</v>
      </c>
      <c r="D14" s="4"/>
      <c r="E14" s="3" t="s">
        <v>1</v>
      </c>
      <c r="F14" s="4"/>
      <c r="G14" s="3" t="s">
        <v>1</v>
      </c>
      <c r="H14" s="4"/>
      <c r="I14" s="3" t="s">
        <v>1</v>
      </c>
      <c r="J14" s="4"/>
      <c r="K14" s="3" t="s">
        <v>1</v>
      </c>
      <c r="L14" s="4"/>
    </row>
    <row r="15" spans="1:33">
      <c r="A15" s="32"/>
      <c r="B15" s="33"/>
      <c r="C15" s="36" t="s">
        <v>17</v>
      </c>
      <c r="D15" s="23"/>
      <c r="E15" s="36" t="s">
        <v>18</v>
      </c>
      <c r="F15" s="23"/>
      <c r="G15" s="36" t="s">
        <v>19</v>
      </c>
      <c r="H15" s="23"/>
      <c r="I15" s="36" t="s">
        <v>20</v>
      </c>
      <c r="J15" s="23"/>
      <c r="K15" s="36" t="s">
        <v>21</v>
      </c>
      <c r="L15" s="23"/>
    </row>
    <row r="16" spans="1:33">
      <c r="A16" s="32"/>
      <c r="B16" s="33"/>
      <c r="C16" s="1" t="s">
        <v>0</v>
      </c>
      <c r="D16" s="2"/>
      <c r="E16" s="1" t="s">
        <v>0</v>
      </c>
      <c r="F16" s="2"/>
      <c r="G16" s="1" t="s">
        <v>0</v>
      </c>
      <c r="H16" s="2"/>
      <c r="I16" s="1" t="s">
        <v>0</v>
      </c>
      <c r="J16" s="2"/>
      <c r="K16" s="1" t="s">
        <v>0</v>
      </c>
      <c r="L16" s="2"/>
    </row>
    <row r="17" spans="1:33" ht="17" thickBot="1">
      <c r="A17" s="34"/>
      <c r="B17" s="35"/>
      <c r="C17" s="3" t="s">
        <v>1</v>
      </c>
      <c r="D17" s="4"/>
      <c r="E17" s="3" t="s">
        <v>1</v>
      </c>
      <c r="F17" s="4"/>
      <c r="G17" s="3" t="s">
        <v>1</v>
      </c>
      <c r="H17" s="4"/>
      <c r="I17" s="3" t="s">
        <v>1</v>
      </c>
      <c r="J17" s="4"/>
      <c r="K17" s="3" t="s">
        <v>1</v>
      </c>
      <c r="L17" s="4"/>
    </row>
    <row r="18" spans="1:33" ht="17" thickBot="1">
      <c r="A18" s="3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3"/>
    </row>
    <row r="19" spans="1:33">
      <c r="A19" s="30" t="s">
        <v>22</v>
      </c>
      <c r="B19" s="31"/>
      <c r="C19" s="36" t="s">
        <v>2</v>
      </c>
      <c r="D19" s="23"/>
      <c r="E19" s="36" t="s">
        <v>3</v>
      </c>
      <c r="F19" s="23"/>
      <c r="G19" s="36" t="s">
        <v>4</v>
      </c>
      <c r="H19" s="23"/>
      <c r="I19" s="36" t="s">
        <v>5</v>
      </c>
      <c r="J19" s="23"/>
      <c r="K19" s="36" t="s">
        <v>6</v>
      </c>
      <c r="L19" s="23"/>
    </row>
    <row r="20" spans="1:33">
      <c r="A20" s="32"/>
      <c r="B20" s="33"/>
      <c r="C20" s="1" t="s">
        <v>0</v>
      </c>
      <c r="D20" s="2">
        <v>18.2</v>
      </c>
      <c r="E20" s="1" t="s">
        <v>0</v>
      </c>
      <c r="F20" s="2">
        <v>14.4</v>
      </c>
      <c r="G20" s="1" t="s">
        <v>0</v>
      </c>
      <c r="H20" s="2">
        <v>12.7</v>
      </c>
      <c r="I20" s="1" t="s">
        <v>0</v>
      </c>
      <c r="J20" s="2">
        <v>11</v>
      </c>
      <c r="K20" s="1" t="s">
        <v>0</v>
      </c>
      <c r="L20" s="2">
        <v>11.6</v>
      </c>
      <c r="N20">
        <f>D20</f>
        <v>18.2</v>
      </c>
      <c r="O20">
        <f>F20</f>
        <v>14.4</v>
      </c>
      <c r="P20">
        <f>H20</f>
        <v>12.7</v>
      </c>
      <c r="Q20">
        <f>J20</f>
        <v>11</v>
      </c>
      <c r="R20">
        <f>L20</f>
        <v>11.6</v>
      </c>
      <c r="S20">
        <f>D23</f>
        <v>11.9</v>
      </c>
      <c r="T20">
        <f>F23</f>
        <v>12.9</v>
      </c>
      <c r="U20">
        <f>H23</f>
        <v>11.7</v>
      </c>
      <c r="V20">
        <f>J23</f>
        <v>13.2</v>
      </c>
      <c r="W20">
        <f>L23</f>
        <v>11</v>
      </c>
      <c r="X20">
        <f>D26</f>
        <v>12.1</v>
      </c>
      <c r="Y20">
        <f>F26</f>
        <v>16</v>
      </c>
      <c r="Z20">
        <f>H26</f>
        <v>10.8</v>
      </c>
      <c r="AA20">
        <f>J26</f>
        <v>12.1</v>
      </c>
      <c r="AB20">
        <f>L26</f>
        <v>10.5</v>
      </c>
      <c r="AC20">
        <f>D29</f>
        <v>11.6</v>
      </c>
      <c r="AD20">
        <f>F29</f>
        <v>9.9</v>
      </c>
      <c r="AE20">
        <f>H29</f>
        <v>11</v>
      </c>
      <c r="AF20">
        <f>J29</f>
        <v>13.5</v>
      </c>
      <c r="AG20">
        <f>L29</f>
        <v>11.1</v>
      </c>
    </row>
    <row r="21" spans="1:33" ht="17" thickBot="1">
      <c r="A21" s="32"/>
      <c r="B21" s="33"/>
      <c r="C21" s="3" t="s">
        <v>1</v>
      </c>
      <c r="D21" s="4">
        <v>2</v>
      </c>
      <c r="E21" s="3" t="s">
        <v>1</v>
      </c>
      <c r="F21" s="4">
        <v>0</v>
      </c>
      <c r="G21" s="3" t="s">
        <v>1</v>
      </c>
      <c r="H21" s="4">
        <v>0</v>
      </c>
      <c r="I21" s="3" t="s">
        <v>1</v>
      </c>
      <c r="J21" s="4">
        <v>0</v>
      </c>
      <c r="K21" s="3" t="s">
        <v>1</v>
      </c>
      <c r="L21" s="4">
        <v>0</v>
      </c>
      <c r="N21">
        <f>D21</f>
        <v>2</v>
      </c>
      <c r="O21">
        <f>F21</f>
        <v>0</v>
      </c>
      <c r="P21">
        <f>H21</f>
        <v>0</v>
      </c>
      <c r="Q21">
        <f>J21</f>
        <v>0</v>
      </c>
      <c r="R21">
        <f>L21</f>
        <v>0</v>
      </c>
      <c r="S21">
        <f>D24</f>
        <v>0</v>
      </c>
      <c r="T21">
        <f>F24</f>
        <v>0</v>
      </c>
      <c r="U21">
        <f>H24</f>
        <v>0</v>
      </c>
      <c r="V21">
        <f>J24</f>
        <v>0</v>
      </c>
      <c r="W21">
        <f>L24</f>
        <v>0</v>
      </c>
      <c r="X21">
        <f>D27</f>
        <v>0</v>
      </c>
      <c r="Y21">
        <f>F27</f>
        <v>1</v>
      </c>
      <c r="Z21">
        <f>H27</f>
        <v>0</v>
      </c>
      <c r="AA21">
        <f>J27</f>
        <v>0</v>
      </c>
      <c r="AB21">
        <f>L27</f>
        <v>0</v>
      </c>
      <c r="AC21">
        <f>D30</f>
        <v>0</v>
      </c>
      <c r="AD21">
        <f>F30</f>
        <v>0</v>
      </c>
      <c r="AE21">
        <f>H30</f>
        <v>0</v>
      </c>
      <c r="AF21">
        <f>J30</f>
        <v>0</v>
      </c>
      <c r="AG21">
        <f>L30</f>
        <v>0</v>
      </c>
    </row>
    <row r="22" spans="1:33">
      <c r="A22" s="32"/>
      <c r="B22" s="33"/>
      <c r="C22" s="36" t="s">
        <v>7</v>
      </c>
      <c r="D22" s="23"/>
      <c r="E22" s="36" t="s">
        <v>8</v>
      </c>
      <c r="F22" s="23"/>
      <c r="G22" s="36" t="s">
        <v>9</v>
      </c>
      <c r="H22" s="23"/>
      <c r="I22" s="36" t="s">
        <v>10</v>
      </c>
      <c r="J22" s="23"/>
      <c r="K22" s="36" t="s">
        <v>11</v>
      </c>
      <c r="L22" s="23"/>
    </row>
    <row r="23" spans="1:33">
      <c r="A23" s="32"/>
      <c r="B23" s="33"/>
      <c r="C23" s="1" t="s">
        <v>0</v>
      </c>
      <c r="D23">
        <v>11.9</v>
      </c>
      <c r="E23" s="1" t="s">
        <v>0</v>
      </c>
      <c r="F23" s="2">
        <v>12.9</v>
      </c>
      <c r="G23" s="1" t="s">
        <v>0</v>
      </c>
      <c r="H23" s="2">
        <v>11.7</v>
      </c>
      <c r="I23" s="1" t="s">
        <v>0</v>
      </c>
      <c r="J23" s="2">
        <v>13.2</v>
      </c>
      <c r="K23" s="1" t="s">
        <v>0</v>
      </c>
      <c r="L23" s="2">
        <v>11</v>
      </c>
    </row>
    <row r="24" spans="1:33" ht="17" thickBot="1">
      <c r="A24" s="32"/>
      <c r="B24" s="33"/>
      <c r="C24" s="3" t="s">
        <v>1</v>
      </c>
      <c r="D24" s="4">
        <v>0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0</v>
      </c>
    </row>
    <row r="25" spans="1:33">
      <c r="A25" s="32"/>
      <c r="B25" s="33"/>
      <c r="C25" s="36" t="s">
        <v>12</v>
      </c>
      <c r="D25" s="23"/>
      <c r="E25" s="36" t="s">
        <v>13</v>
      </c>
      <c r="F25" s="23"/>
      <c r="G25" s="36" t="s">
        <v>14</v>
      </c>
      <c r="H25" s="23"/>
      <c r="I25" s="36" t="s">
        <v>15</v>
      </c>
      <c r="J25" s="23"/>
      <c r="K25" s="36" t="s">
        <v>16</v>
      </c>
      <c r="L25" s="23"/>
    </row>
    <row r="26" spans="1:33">
      <c r="A26" s="32"/>
      <c r="B26" s="33"/>
      <c r="C26" s="1" t="s">
        <v>0</v>
      </c>
      <c r="D26" s="2">
        <v>12.1</v>
      </c>
      <c r="E26" s="1" t="s">
        <v>0</v>
      </c>
      <c r="F26" s="2">
        <v>16</v>
      </c>
      <c r="G26" s="1" t="s">
        <v>0</v>
      </c>
      <c r="H26" s="2">
        <v>10.8</v>
      </c>
      <c r="I26" s="1" t="s">
        <v>0</v>
      </c>
      <c r="J26" s="2">
        <v>12.1</v>
      </c>
      <c r="K26" s="1" t="s">
        <v>0</v>
      </c>
      <c r="L26" s="2">
        <v>10.5</v>
      </c>
    </row>
    <row r="27" spans="1:33" ht="17" thickBot="1">
      <c r="A27" s="32"/>
      <c r="B27" s="33"/>
      <c r="C27" s="3" t="s">
        <v>1</v>
      </c>
      <c r="D27" s="4">
        <v>0</v>
      </c>
      <c r="E27" s="3" t="s">
        <v>1</v>
      </c>
      <c r="F27" s="4">
        <v>1</v>
      </c>
      <c r="G27" s="3" t="s">
        <v>1</v>
      </c>
      <c r="H27" s="4">
        <v>0</v>
      </c>
      <c r="I27" s="3" t="s">
        <v>1</v>
      </c>
      <c r="J27" s="4">
        <v>0</v>
      </c>
      <c r="K27" s="3" t="s">
        <v>1</v>
      </c>
      <c r="L27" s="4">
        <v>0</v>
      </c>
    </row>
    <row r="28" spans="1:33">
      <c r="A28" s="32"/>
      <c r="B28" s="33"/>
      <c r="C28" s="36" t="s">
        <v>17</v>
      </c>
      <c r="D28" s="23"/>
      <c r="E28" s="36" t="s">
        <v>18</v>
      </c>
      <c r="F28" s="23"/>
      <c r="G28" s="36" t="s">
        <v>19</v>
      </c>
      <c r="H28" s="23"/>
      <c r="I28" s="36" t="s">
        <v>20</v>
      </c>
      <c r="J28" s="23"/>
      <c r="K28" s="36" t="s">
        <v>21</v>
      </c>
      <c r="L28" s="23"/>
    </row>
    <row r="29" spans="1:33">
      <c r="A29" s="32"/>
      <c r="B29" s="33"/>
      <c r="C29" s="1" t="s">
        <v>0</v>
      </c>
      <c r="D29" s="2">
        <v>11.6</v>
      </c>
      <c r="E29" s="1" t="s">
        <v>0</v>
      </c>
      <c r="F29" s="2">
        <v>9.9</v>
      </c>
      <c r="G29" s="1" t="s">
        <v>0</v>
      </c>
      <c r="H29" s="2">
        <v>11</v>
      </c>
      <c r="I29" s="1" t="s">
        <v>0</v>
      </c>
      <c r="J29" s="2">
        <v>13.5</v>
      </c>
      <c r="K29" s="1" t="s">
        <v>0</v>
      </c>
      <c r="L29" s="2">
        <v>11.1</v>
      </c>
    </row>
    <row r="30" spans="1:33" ht="17" thickBot="1">
      <c r="A30" s="34"/>
      <c r="B30" s="35"/>
      <c r="C30" s="3" t="s">
        <v>1</v>
      </c>
      <c r="D30" s="4">
        <v>0</v>
      </c>
      <c r="E30" s="3" t="s">
        <v>1</v>
      </c>
      <c r="F30" s="4">
        <v>0</v>
      </c>
      <c r="G30" s="3" t="s">
        <v>1</v>
      </c>
      <c r="H30" s="4">
        <v>0</v>
      </c>
      <c r="I30" s="3" t="s">
        <v>1</v>
      </c>
      <c r="J30" s="4">
        <v>0</v>
      </c>
      <c r="K30" s="3" t="s">
        <v>1</v>
      </c>
      <c r="L30" s="4">
        <v>0</v>
      </c>
    </row>
  </sheetData>
  <mergeCells count="54">
    <mergeCell ref="A18:L18"/>
    <mergeCell ref="A1:B4"/>
    <mergeCell ref="A5:L5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K25:L25"/>
    <mergeCell ref="C28:D28"/>
    <mergeCell ref="E28:F28"/>
    <mergeCell ref="G28:H28"/>
    <mergeCell ref="I28:J28"/>
    <mergeCell ref="K28:L28"/>
    <mergeCell ref="A19:B30"/>
    <mergeCell ref="C25:D25"/>
    <mergeCell ref="E25:F25"/>
    <mergeCell ref="G25:H25"/>
    <mergeCell ref="I25:J25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  <mergeCell ref="C1:D1"/>
    <mergeCell ref="E1:H1"/>
    <mergeCell ref="I1:L4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D2D1-F884-3F40-90C9-2B8F8D4C3417}">
  <dimension ref="A1:AG24"/>
  <sheetViews>
    <sheetView workbookViewId="0">
      <selection activeCell="L24" sqref="L24"/>
    </sheetView>
  </sheetViews>
  <sheetFormatPr baseColWidth="10" defaultRowHeight="16"/>
  <cols>
    <col min="3" max="4" width="10.83203125" customWidth="1"/>
  </cols>
  <sheetData>
    <row r="1" spans="1:33">
      <c r="A1" s="17" t="s">
        <v>77</v>
      </c>
      <c r="B1" s="26"/>
      <c r="C1" s="36" t="s">
        <v>76</v>
      </c>
      <c r="D1" s="18"/>
      <c r="E1" s="18"/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43" t="s">
        <v>74</v>
      </c>
      <c r="F2" s="44"/>
      <c r="G2" s="44"/>
      <c r="H2" s="45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46">
        <v>0</v>
      </c>
      <c r="F3" s="44"/>
      <c r="G3" s="44"/>
      <c r="H3" s="45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49">
        <v>260</v>
      </c>
      <c r="F4" s="50"/>
      <c r="G4" s="50"/>
      <c r="H4" s="51"/>
      <c r="I4" s="29"/>
      <c r="J4" s="29"/>
      <c r="K4" s="29"/>
      <c r="L4" s="35"/>
    </row>
    <row r="5" spans="1:33" ht="17" thickBot="1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33" ht="16" customHeight="1">
      <c r="A6" s="30" t="s">
        <v>70</v>
      </c>
      <c r="B6" s="85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86"/>
      <c r="B7" s="87"/>
      <c r="C7" s="1" t="s">
        <v>0</v>
      </c>
      <c r="D7" s="2">
        <v>10.5</v>
      </c>
      <c r="E7" s="1" t="s">
        <v>0</v>
      </c>
      <c r="F7" s="2">
        <v>8.4</v>
      </c>
      <c r="G7" s="1" t="s">
        <v>0</v>
      </c>
      <c r="H7" s="2">
        <v>7.9</v>
      </c>
      <c r="I7" s="1" t="s">
        <v>0</v>
      </c>
      <c r="J7" s="2">
        <v>11.7</v>
      </c>
      <c r="K7" s="1" t="s">
        <v>0</v>
      </c>
      <c r="L7" s="2">
        <v>8.3000000000000007</v>
      </c>
      <c r="N7">
        <f>D7</f>
        <v>10.5</v>
      </c>
      <c r="O7">
        <f>F7</f>
        <v>8.4</v>
      </c>
      <c r="P7">
        <f>H7</f>
        <v>7.9</v>
      </c>
      <c r="Q7">
        <f>J7</f>
        <v>11.7</v>
      </c>
      <c r="R7">
        <f>L7</f>
        <v>8.3000000000000007</v>
      </c>
      <c r="S7">
        <f>D10</f>
        <v>7.7</v>
      </c>
      <c r="T7">
        <f>F10</f>
        <v>7.9</v>
      </c>
      <c r="U7">
        <f>H10</f>
        <v>8.6</v>
      </c>
      <c r="V7">
        <f>J10</f>
        <v>6.9</v>
      </c>
      <c r="W7">
        <f>L10</f>
        <v>6.6</v>
      </c>
    </row>
    <row r="8" spans="1:33" ht="17" thickBot="1">
      <c r="A8" s="86"/>
      <c r="B8" s="87"/>
      <c r="C8" s="3" t="s">
        <v>1</v>
      </c>
      <c r="D8" s="4">
        <v>0</v>
      </c>
      <c r="E8" s="3" t="s">
        <v>1</v>
      </c>
      <c r="F8" s="4">
        <v>0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0</v>
      </c>
      <c r="N8">
        <f>D8</f>
        <v>0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1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86"/>
      <c r="B9" s="87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86"/>
      <c r="B10" s="87"/>
      <c r="C10" s="1" t="s">
        <v>0</v>
      </c>
      <c r="D10" s="2">
        <v>7.7</v>
      </c>
      <c r="E10" s="1" t="s">
        <v>0</v>
      </c>
      <c r="F10" s="2">
        <v>7.9</v>
      </c>
      <c r="G10" s="1" t="s">
        <v>0</v>
      </c>
      <c r="H10" s="2">
        <v>8.6</v>
      </c>
      <c r="I10" s="1" t="s">
        <v>0</v>
      </c>
      <c r="J10" s="2">
        <v>6.9</v>
      </c>
      <c r="K10" s="1" t="s">
        <v>0</v>
      </c>
      <c r="L10" s="2">
        <v>6.6</v>
      </c>
    </row>
    <row r="11" spans="1:33" ht="17" thickBot="1">
      <c r="A11" s="86"/>
      <c r="B11" s="87"/>
      <c r="C11" s="14" t="s">
        <v>1</v>
      </c>
      <c r="D11" s="13">
        <v>1</v>
      </c>
      <c r="E11" s="14" t="s">
        <v>1</v>
      </c>
      <c r="F11" s="13">
        <v>0</v>
      </c>
      <c r="G11" s="14" t="s">
        <v>1</v>
      </c>
      <c r="H11" s="13">
        <v>0</v>
      </c>
      <c r="I11" s="14" t="s">
        <v>1</v>
      </c>
      <c r="J11" s="13"/>
      <c r="K11" s="14" t="s">
        <v>1</v>
      </c>
      <c r="L11" s="13"/>
    </row>
    <row r="12" spans="1:33" ht="17" thickBot="1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33" ht="17" customHeight="1">
      <c r="A13" s="30" t="s">
        <v>69</v>
      </c>
      <c r="B13" s="85"/>
      <c r="C13" s="90" t="s">
        <v>2</v>
      </c>
      <c r="D13" s="91"/>
      <c r="E13" s="90" t="s">
        <v>3</v>
      </c>
      <c r="F13" s="91"/>
      <c r="G13" s="90" t="s">
        <v>4</v>
      </c>
      <c r="H13" s="91"/>
      <c r="I13" s="90" t="s">
        <v>5</v>
      </c>
      <c r="J13" s="91"/>
      <c r="K13" s="90" t="s">
        <v>6</v>
      </c>
      <c r="L13" s="91"/>
    </row>
    <row r="14" spans="1:33">
      <c r="A14" s="86"/>
      <c r="B14" s="87"/>
      <c r="C14" s="1" t="s">
        <v>0</v>
      </c>
      <c r="D14" s="2">
        <v>26</v>
      </c>
      <c r="E14" s="1" t="s">
        <v>0</v>
      </c>
      <c r="F14" s="2">
        <v>21</v>
      </c>
      <c r="G14" s="1" t="s">
        <v>0</v>
      </c>
      <c r="H14" s="2">
        <v>15.7</v>
      </c>
      <c r="I14" s="1" t="s">
        <v>0</v>
      </c>
      <c r="J14" s="2">
        <v>24</v>
      </c>
      <c r="K14" s="1" t="s">
        <v>0</v>
      </c>
      <c r="L14" s="2">
        <v>23.1</v>
      </c>
      <c r="N14">
        <f>D14</f>
        <v>26</v>
      </c>
      <c r="O14">
        <f>F14</f>
        <v>21</v>
      </c>
      <c r="P14">
        <f>H14</f>
        <v>15.7</v>
      </c>
      <c r="Q14">
        <f>J14</f>
        <v>24</v>
      </c>
      <c r="R14">
        <f>L14</f>
        <v>23.1</v>
      </c>
      <c r="S14">
        <f>D17</f>
        <v>21.7</v>
      </c>
      <c r="T14">
        <f>F17</f>
        <v>21.4</v>
      </c>
      <c r="U14">
        <f>H17</f>
        <v>19.2</v>
      </c>
      <c r="V14">
        <f>J17</f>
        <v>17.100000000000001</v>
      </c>
      <c r="W14">
        <f>L17</f>
        <v>18.399999999999999</v>
      </c>
      <c r="X14">
        <f>D20</f>
        <v>18.7</v>
      </c>
      <c r="Y14">
        <f>F20</f>
        <v>16.399999999999999</v>
      </c>
      <c r="Z14">
        <f>H20</f>
        <v>15.5</v>
      </c>
      <c r="AA14">
        <f>J20</f>
        <v>17.3</v>
      </c>
      <c r="AB14">
        <f>L20</f>
        <v>18.600000000000001</v>
      </c>
      <c r="AC14">
        <f>D23</f>
        <v>17</v>
      </c>
      <c r="AD14">
        <f>F23</f>
        <v>15.5</v>
      </c>
      <c r="AE14">
        <f>H23</f>
        <v>16.2</v>
      </c>
      <c r="AF14">
        <f>J23</f>
        <v>16.2</v>
      </c>
      <c r="AG14">
        <f>L23</f>
        <v>15.6</v>
      </c>
    </row>
    <row r="15" spans="1:33" ht="17" thickBot="1">
      <c r="A15" s="86"/>
      <c r="B15" s="87"/>
      <c r="C15" s="3" t="s">
        <v>1</v>
      </c>
      <c r="D15" s="4">
        <v>0</v>
      </c>
      <c r="E15" s="3" t="s">
        <v>1</v>
      </c>
      <c r="F15" s="4">
        <v>2</v>
      </c>
      <c r="G15" s="3" t="s">
        <v>1</v>
      </c>
      <c r="H15" s="4">
        <v>0</v>
      </c>
      <c r="I15" s="3" t="s">
        <v>1</v>
      </c>
      <c r="J15" s="4">
        <v>0</v>
      </c>
      <c r="K15" s="3" t="s">
        <v>1</v>
      </c>
      <c r="L15" s="4">
        <v>0</v>
      </c>
      <c r="N15">
        <f>D15</f>
        <v>0</v>
      </c>
      <c r="O15">
        <f>F15</f>
        <v>2</v>
      </c>
      <c r="P15">
        <f>H15</f>
        <v>0</v>
      </c>
      <c r="Q15">
        <f>J15</f>
        <v>0</v>
      </c>
      <c r="R15">
        <f>L15</f>
        <v>0</v>
      </c>
      <c r="S15">
        <f>D18</f>
        <v>0</v>
      </c>
      <c r="T15">
        <f>F18</f>
        <v>0</v>
      </c>
      <c r="U15">
        <f>H18</f>
        <v>0</v>
      </c>
      <c r="V15">
        <f>J18</f>
        <v>1</v>
      </c>
      <c r="W15">
        <f>L18</f>
        <v>0</v>
      </c>
      <c r="X15">
        <f>D21</f>
        <v>0</v>
      </c>
      <c r="Y15">
        <f>F21</f>
        <v>0</v>
      </c>
      <c r="Z15">
        <f>H21</f>
        <v>1</v>
      </c>
      <c r="AA15">
        <f>J21</f>
        <v>0</v>
      </c>
      <c r="AB15">
        <f>L21</f>
        <v>1</v>
      </c>
      <c r="AC15">
        <f>D24</f>
        <v>1</v>
      </c>
      <c r="AD15">
        <f>F24</f>
        <v>0</v>
      </c>
      <c r="AE15">
        <f>H24</f>
        <v>1</v>
      </c>
      <c r="AF15">
        <f>J24</f>
        <v>0</v>
      </c>
      <c r="AG15">
        <f>L24</f>
        <v>0</v>
      </c>
    </row>
    <row r="16" spans="1:33">
      <c r="A16" s="86"/>
      <c r="B16" s="87"/>
      <c r="C16" s="36" t="s">
        <v>7</v>
      </c>
      <c r="D16" s="23"/>
      <c r="E16" s="36" t="s">
        <v>8</v>
      </c>
      <c r="F16" s="23"/>
      <c r="G16" s="36" t="s">
        <v>9</v>
      </c>
      <c r="H16" s="23"/>
      <c r="I16" s="36" t="s">
        <v>10</v>
      </c>
      <c r="J16" s="23"/>
      <c r="K16" s="36" t="s">
        <v>11</v>
      </c>
      <c r="L16" s="23"/>
    </row>
    <row r="17" spans="1:12">
      <c r="A17" s="86"/>
      <c r="B17" s="87"/>
      <c r="C17" s="1" t="s">
        <v>0</v>
      </c>
      <c r="D17">
        <v>21.7</v>
      </c>
      <c r="E17" s="1" t="s">
        <v>0</v>
      </c>
      <c r="F17" s="2">
        <v>21.4</v>
      </c>
      <c r="G17" s="1" t="s">
        <v>0</v>
      </c>
      <c r="H17" s="2">
        <v>19.2</v>
      </c>
      <c r="I17" s="1" t="s">
        <v>0</v>
      </c>
      <c r="J17" s="2">
        <v>17.100000000000001</v>
      </c>
      <c r="K17" s="1" t="s">
        <v>0</v>
      </c>
      <c r="L17" s="2">
        <v>18.399999999999999</v>
      </c>
    </row>
    <row r="18" spans="1:12" ht="17" thickBot="1">
      <c r="A18" s="86"/>
      <c r="B18" s="87"/>
      <c r="C18" s="3" t="s">
        <v>1</v>
      </c>
      <c r="D18" s="4">
        <v>0</v>
      </c>
      <c r="E18" s="3" t="s">
        <v>1</v>
      </c>
      <c r="F18" s="4">
        <v>0</v>
      </c>
      <c r="G18" s="3" t="s">
        <v>1</v>
      </c>
      <c r="H18" s="4">
        <v>0</v>
      </c>
      <c r="I18" s="3" t="s">
        <v>1</v>
      </c>
      <c r="J18" s="4">
        <v>1</v>
      </c>
      <c r="K18" s="3" t="s">
        <v>1</v>
      </c>
      <c r="L18" s="4">
        <v>0</v>
      </c>
    </row>
    <row r="19" spans="1:12" ht="16" customHeight="1">
      <c r="A19" s="86"/>
      <c r="B19" s="87"/>
      <c r="C19" s="36" t="s">
        <v>12</v>
      </c>
      <c r="D19" s="23"/>
      <c r="E19" s="36" t="s">
        <v>13</v>
      </c>
      <c r="F19" s="23"/>
      <c r="G19" s="36" t="s">
        <v>14</v>
      </c>
      <c r="H19" s="23"/>
      <c r="I19" s="36" t="s">
        <v>15</v>
      </c>
      <c r="J19" s="23"/>
      <c r="K19" s="36" t="s">
        <v>16</v>
      </c>
      <c r="L19" s="23"/>
    </row>
    <row r="20" spans="1:12">
      <c r="A20" s="86"/>
      <c r="B20" s="87"/>
      <c r="C20" s="1" t="s">
        <v>0</v>
      </c>
      <c r="D20" s="2">
        <v>18.7</v>
      </c>
      <c r="E20" s="1" t="s">
        <v>0</v>
      </c>
      <c r="F20" s="2">
        <v>16.399999999999999</v>
      </c>
      <c r="G20" s="1" t="s">
        <v>0</v>
      </c>
      <c r="H20" s="2">
        <v>15.5</v>
      </c>
      <c r="I20" s="1" t="s">
        <v>0</v>
      </c>
      <c r="J20" s="2">
        <v>17.3</v>
      </c>
      <c r="K20" s="1" t="s">
        <v>0</v>
      </c>
      <c r="L20" s="2">
        <v>18.600000000000001</v>
      </c>
    </row>
    <row r="21" spans="1:12" ht="17" thickBot="1">
      <c r="A21" s="86"/>
      <c r="B21" s="87"/>
      <c r="C21" s="3" t="s">
        <v>1</v>
      </c>
      <c r="D21" s="4">
        <v>0</v>
      </c>
      <c r="E21" s="3" t="s">
        <v>1</v>
      </c>
      <c r="F21" s="4">
        <v>0</v>
      </c>
      <c r="G21" s="3" t="s">
        <v>1</v>
      </c>
      <c r="H21" s="4">
        <v>1</v>
      </c>
      <c r="I21" s="3" t="s">
        <v>1</v>
      </c>
      <c r="J21" s="4">
        <v>0</v>
      </c>
      <c r="K21" s="3" t="s">
        <v>1</v>
      </c>
      <c r="L21" s="4">
        <v>1</v>
      </c>
    </row>
    <row r="22" spans="1:12">
      <c r="A22" s="86"/>
      <c r="B22" s="87"/>
      <c r="C22" s="36" t="s">
        <v>17</v>
      </c>
      <c r="D22" s="23"/>
      <c r="E22" s="36" t="s">
        <v>18</v>
      </c>
      <c r="F22" s="23"/>
      <c r="G22" s="36" t="s">
        <v>19</v>
      </c>
      <c r="H22" s="23"/>
      <c r="I22" s="36" t="s">
        <v>20</v>
      </c>
      <c r="J22" s="23"/>
      <c r="K22" s="36" t="s">
        <v>21</v>
      </c>
      <c r="L22" s="23"/>
    </row>
    <row r="23" spans="1:12">
      <c r="A23" s="86"/>
      <c r="B23" s="87"/>
      <c r="C23" s="1" t="s">
        <v>0</v>
      </c>
      <c r="D23" s="2">
        <v>17</v>
      </c>
      <c r="E23" s="1" t="s">
        <v>0</v>
      </c>
      <c r="F23" s="2">
        <v>15.5</v>
      </c>
      <c r="G23" s="1" t="s">
        <v>0</v>
      </c>
      <c r="H23" s="2">
        <v>16.2</v>
      </c>
      <c r="I23" s="1" t="s">
        <v>0</v>
      </c>
      <c r="J23" s="2">
        <v>16.2</v>
      </c>
      <c r="K23" s="1" t="s">
        <v>0</v>
      </c>
      <c r="L23" s="2">
        <v>15.6</v>
      </c>
    </row>
    <row r="24" spans="1:12" ht="17" thickBot="1">
      <c r="A24" s="88"/>
      <c r="B24" s="89"/>
      <c r="C24" s="3" t="s">
        <v>1</v>
      </c>
      <c r="D24" s="4">
        <v>1</v>
      </c>
      <c r="E24" s="3" t="s">
        <v>1</v>
      </c>
      <c r="F24" s="4">
        <v>0</v>
      </c>
      <c r="G24" s="3" t="s">
        <v>1</v>
      </c>
      <c r="H24" s="4">
        <v>1</v>
      </c>
      <c r="I24" s="3" t="s">
        <v>1</v>
      </c>
      <c r="J24" s="4">
        <v>0</v>
      </c>
      <c r="K24" s="3" t="s">
        <v>1</v>
      </c>
      <c r="L24" s="4">
        <v>0</v>
      </c>
    </row>
  </sheetData>
  <mergeCells count="44"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D10A-5C56-3F44-AE27-C2B05A903158}">
  <dimension ref="A1:AG24"/>
  <sheetViews>
    <sheetView topLeftCell="L1" workbookViewId="0">
      <selection activeCell="N15" sqref="N15:AG15"/>
    </sheetView>
  </sheetViews>
  <sheetFormatPr baseColWidth="10" defaultRowHeight="16"/>
  <cols>
    <col min="3" max="4" width="10.83203125" customWidth="1"/>
  </cols>
  <sheetData>
    <row r="1" spans="1:33">
      <c r="A1" s="17" t="s">
        <v>77</v>
      </c>
      <c r="B1" s="26"/>
      <c r="C1" s="36" t="s">
        <v>76</v>
      </c>
      <c r="D1" s="18"/>
      <c r="E1" s="18" t="s">
        <v>82</v>
      </c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43" t="s">
        <v>74</v>
      </c>
      <c r="F2" s="44"/>
      <c r="G2" s="44"/>
      <c r="H2" s="45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46" t="s">
        <v>72</v>
      </c>
      <c r="F3" s="44"/>
      <c r="G3" s="44"/>
      <c r="H3" s="45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49">
        <v>160</v>
      </c>
      <c r="F4" s="50"/>
      <c r="G4" s="50"/>
      <c r="H4" s="51"/>
      <c r="I4" s="29"/>
      <c r="J4" s="29"/>
      <c r="K4" s="29"/>
      <c r="L4" s="35"/>
    </row>
    <row r="5" spans="1:33" ht="17" thickBot="1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33" ht="16" customHeight="1">
      <c r="A6" s="30" t="s">
        <v>70</v>
      </c>
      <c r="B6" s="85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86"/>
      <c r="B7" s="87"/>
      <c r="C7" s="1" t="s">
        <v>0</v>
      </c>
      <c r="D7" s="2">
        <v>16.100000000000001</v>
      </c>
      <c r="E7" s="1" t="s">
        <v>0</v>
      </c>
      <c r="F7" s="2">
        <v>12</v>
      </c>
      <c r="G7" s="1" t="s">
        <v>0</v>
      </c>
      <c r="H7" s="2">
        <v>11.6</v>
      </c>
      <c r="I7" s="1" t="s">
        <v>0</v>
      </c>
      <c r="J7" s="2">
        <v>11.8</v>
      </c>
      <c r="K7" s="1" t="s">
        <v>0</v>
      </c>
      <c r="L7" s="2">
        <v>9.6999999999999993</v>
      </c>
      <c r="N7">
        <f>D7</f>
        <v>16.100000000000001</v>
      </c>
      <c r="O7">
        <f>F7</f>
        <v>12</v>
      </c>
      <c r="P7">
        <f>H7</f>
        <v>11.6</v>
      </c>
      <c r="Q7">
        <f>J7</f>
        <v>11.8</v>
      </c>
      <c r="R7">
        <f>L7</f>
        <v>9.6999999999999993</v>
      </c>
      <c r="S7">
        <f>D10</f>
        <v>8.6999999999999993</v>
      </c>
      <c r="T7">
        <f>F10</f>
        <v>11.3</v>
      </c>
      <c r="U7">
        <f>H10</f>
        <v>7.1</v>
      </c>
      <c r="V7">
        <f>J10</f>
        <v>8.4</v>
      </c>
      <c r="W7">
        <f>L10</f>
        <v>7.9</v>
      </c>
    </row>
    <row r="8" spans="1:33" ht="17" thickBot="1">
      <c r="A8" s="86"/>
      <c r="B8" s="87"/>
      <c r="C8" s="3" t="s">
        <v>1</v>
      </c>
      <c r="D8" s="4">
        <v>0</v>
      </c>
      <c r="E8" s="3" t="s">
        <v>1</v>
      </c>
      <c r="F8" s="4">
        <v>0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0</v>
      </c>
      <c r="N8">
        <f>D8</f>
        <v>0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86"/>
      <c r="B9" s="87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86"/>
      <c r="B10" s="87"/>
      <c r="C10" s="1" t="s">
        <v>0</v>
      </c>
      <c r="D10" s="2">
        <v>8.6999999999999993</v>
      </c>
      <c r="E10" s="1" t="s">
        <v>0</v>
      </c>
      <c r="F10" s="2">
        <v>11.3</v>
      </c>
      <c r="G10" s="1" t="s">
        <v>0</v>
      </c>
      <c r="H10" s="2">
        <v>7.1</v>
      </c>
      <c r="I10" s="1" t="s">
        <v>0</v>
      </c>
      <c r="J10" s="2">
        <v>8.4</v>
      </c>
      <c r="K10" s="1" t="s">
        <v>0</v>
      </c>
      <c r="L10" s="2">
        <v>7.9</v>
      </c>
    </row>
    <row r="11" spans="1:33" ht="17" thickBot="1">
      <c r="A11" s="86"/>
      <c r="B11" s="87"/>
      <c r="C11" s="14" t="s">
        <v>1</v>
      </c>
      <c r="D11" s="13">
        <v>0</v>
      </c>
      <c r="E11" s="14" t="s">
        <v>1</v>
      </c>
      <c r="F11" s="13">
        <v>0</v>
      </c>
      <c r="G11" s="14" t="s">
        <v>1</v>
      </c>
      <c r="H11" s="13">
        <v>0</v>
      </c>
      <c r="I11" s="14" t="s">
        <v>1</v>
      </c>
      <c r="J11" s="13">
        <v>0</v>
      </c>
      <c r="K11" s="14" t="s">
        <v>1</v>
      </c>
      <c r="L11" s="13">
        <v>0</v>
      </c>
    </row>
    <row r="12" spans="1:33" ht="17" thickBot="1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33" ht="17" customHeight="1">
      <c r="A13" s="30" t="s">
        <v>69</v>
      </c>
      <c r="B13" s="85"/>
      <c r="C13" s="90" t="s">
        <v>2</v>
      </c>
      <c r="D13" s="91"/>
      <c r="E13" s="90" t="s">
        <v>3</v>
      </c>
      <c r="F13" s="91"/>
      <c r="G13" s="90" t="s">
        <v>4</v>
      </c>
      <c r="H13" s="91"/>
      <c r="I13" s="90" t="s">
        <v>5</v>
      </c>
      <c r="J13" s="91"/>
      <c r="K13" s="90" t="s">
        <v>6</v>
      </c>
      <c r="L13" s="91"/>
    </row>
    <row r="14" spans="1:33">
      <c r="A14" s="86"/>
      <c r="B14" s="87"/>
      <c r="C14" s="1" t="s">
        <v>0</v>
      </c>
      <c r="D14" s="2">
        <v>20.5</v>
      </c>
      <c r="E14" s="1" t="s">
        <v>0</v>
      </c>
      <c r="F14" s="2">
        <v>28.3</v>
      </c>
      <c r="G14" s="1" t="s">
        <v>0</v>
      </c>
      <c r="H14" s="2">
        <v>14.5</v>
      </c>
      <c r="I14" s="1" t="s">
        <v>0</v>
      </c>
      <c r="J14" s="2">
        <v>16.100000000000001</v>
      </c>
      <c r="K14" s="1" t="s">
        <v>0</v>
      </c>
      <c r="L14" s="2">
        <v>13.4</v>
      </c>
      <c r="N14">
        <f>D14</f>
        <v>20.5</v>
      </c>
      <c r="O14">
        <f>F14</f>
        <v>28.3</v>
      </c>
      <c r="P14">
        <f>H14</f>
        <v>14.5</v>
      </c>
      <c r="Q14">
        <f>J14</f>
        <v>16.100000000000001</v>
      </c>
      <c r="R14">
        <f>L14</f>
        <v>13.4</v>
      </c>
      <c r="S14">
        <f>D17</f>
        <v>18.600000000000001</v>
      </c>
      <c r="T14">
        <f>F17</f>
        <v>22.5</v>
      </c>
      <c r="U14">
        <f>H17</f>
        <v>24.6</v>
      </c>
      <c r="V14">
        <f>J17</f>
        <v>21.5</v>
      </c>
      <c r="W14">
        <f>L17</f>
        <v>15.4</v>
      </c>
      <c r="X14">
        <f>D20</f>
        <v>17.5</v>
      </c>
      <c r="Y14">
        <f>F20</f>
        <v>20.2</v>
      </c>
      <c r="Z14">
        <f>H20</f>
        <v>15.3</v>
      </c>
      <c r="AA14">
        <f>J20</f>
        <v>14.7</v>
      </c>
      <c r="AB14">
        <f>L20</f>
        <v>19.600000000000001</v>
      </c>
      <c r="AC14">
        <f>D23</f>
        <v>13.8</v>
      </c>
      <c r="AD14">
        <f>F23</f>
        <v>16</v>
      </c>
      <c r="AE14">
        <f>H23</f>
        <v>19.899999999999999</v>
      </c>
      <c r="AF14">
        <f>J23</f>
        <v>16.5</v>
      </c>
      <c r="AG14">
        <f>L23</f>
        <v>16.3</v>
      </c>
    </row>
    <row r="15" spans="1:33" ht="17" thickBot="1">
      <c r="A15" s="86"/>
      <c r="B15" s="87"/>
      <c r="C15" s="3" t="s">
        <v>1</v>
      </c>
      <c r="D15" s="4">
        <v>1</v>
      </c>
      <c r="E15" s="3" t="s">
        <v>1</v>
      </c>
      <c r="F15" s="4">
        <v>0</v>
      </c>
      <c r="G15" s="3" t="s">
        <v>1</v>
      </c>
      <c r="H15" s="4">
        <v>0</v>
      </c>
      <c r="I15" s="3" t="s">
        <v>1</v>
      </c>
      <c r="J15" s="4">
        <v>0</v>
      </c>
      <c r="K15" s="3" t="s">
        <v>1</v>
      </c>
      <c r="L15" s="4">
        <v>0</v>
      </c>
      <c r="N15">
        <f>D15</f>
        <v>1</v>
      </c>
      <c r="O15">
        <f>F15</f>
        <v>0</v>
      </c>
      <c r="P15">
        <f>H15</f>
        <v>0</v>
      </c>
      <c r="Q15">
        <f>J15</f>
        <v>0</v>
      </c>
      <c r="R15">
        <f>L15</f>
        <v>0</v>
      </c>
      <c r="S15">
        <f>D18</f>
        <v>1</v>
      </c>
      <c r="T15">
        <f>F18</f>
        <v>1</v>
      </c>
      <c r="U15">
        <f>H18</f>
        <v>1</v>
      </c>
      <c r="V15">
        <f>J18</f>
        <v>1</v>
      </c>
      <c r="W15">
        <f>L18</f>
        <v>0</v>
      </c>
      <c r="X15">
        <f>D21</f>
        <v>0</v>
      </c>
      <c r="Y15">
        <f>F21</f>
        <v>1</v>
      </c>
      <c r="Z15">
        <f>H21</f>
        <v>0</v>
      </c>
      <c r="AA15">
        <f>J21</f>
        <v>0</v>
      </c>
      <c r="AB15">
        <f>L21</f>
        <v>0</v>
      </c>
      <c r="AC15">
        <f>D24</f>
        <v>1</v>
      </c>
      <c r="AD15">
        <f>F24</f>
        <v>0</v>
      </c>
      <c r="AE15">
        <f>H24</f>
        <v>0</v>
      </c>
      <c r="AF15">
        <f>J24</f>
        <v>0</v>
      </c>
      <c r="AG15">
        <f>L24</f>
        <v>0</v>
      </c>
    </row>
    <row r="16" spans="1:33">
      <c r="A16" s="86"/>
      <c r="B16" s="87"/>
      <c r="C16" s="36" t="s">
        <v>7</v>
      </c>
      <c r="D16" s="23"/>
      <c r="E16" s="36" t="s">
        <v>8</v>
      </c>
      <c r="F16" s="23"/>
      <c r="G16" s="36" t="s">
        <v>9</v>
      </c>
      <c r="H16" s="23"/>
      <c r="I16" s="36" t="s">
        <v>10</v>
      </c>
      <c r="J16" s="23"/>
      <c r="K16" s="36" t="s">
        <v>11</v>
      </c>
      <c r="L16" s="23"/>
    </row>
    <row r="17" spans="1:12">
      <c r="A17" s="86"/>
      <c r="B17" s="87"/>
      <c r="C17" s="1" t="s">
        <v>0</v>
      </c>
      <c r="D17">
        <v>18.600000000000001</v>
      </c>
      <c r="E17" s="1" t="s">
        <v>0</v>
      </c>
      <c r="F17" s="2">
        <v>22.5</v>
      </c>
      <c r="G17" s="1" t="s">
        <v>0</v>
      </c>
      <c r="H17" s="2">
        <v>24.6</v>
      </c>
      <c r="I17" s="1" t="s">
        <v>0</v>
      </c>
      <c r="J17" s="2">
        <v>21.5</v>
      </c>
      <c r="K17" s="1" t="s">
        <v>0</v>
      </c>
      <c r="L17" s="2">
        <v>15.4</v>
      </c>
    </row>
    <row r="18" spans="1:12" ht="17" thickBot="1">
      <c r="A18" s="86"/>
      <c r="B18" s="87"/>
      <c r="C18" s="3" t="s">
        <v>1</v>
      </c>
      <c r="D18" s="4">
        <v>1</v>
      </c>
      <c r="E18" s="3" t="s">
        <v>1</v>
      </c>
      <c r="F18" s="4">
        <v>1</v>
      </c>
      <c r="G18" s="3" t="s">
        <v>1</v>
      </c>
      <c r="H18" s="4">
        <v>1</v>
      </c>
      <c r="I18" s="3" t="s">
        <v>1</v>
      </c>
      <c r="J18" s="4">
        <v>1</v>
      </c>
      <c r="K18" s="3" t="s">
        <v>1</v>
      </c>
      <c r="L18" s="4">
        <v>0</v>
      </c>
    </row>
    <row r="19" spans="1:12" ht="16" customHeight="1">
      <c r="A19" s="86"/>
      <c r="B19" s="87"/>
      <c r="C19" s="36" t="s">
        <v>12</v>
      </c>
      <c r="D19" s="23"/>
      <c r="E19" s="36" t="s">
        <v>13</v>
      </c>
      <c r="F19" s="23"/>
      <c r="G19" s="36" t="s">
        <v>14</v>
      </c>
      <c r="H19" s="23"/>
      <c r="I19" s="36" t="s">
        <v>15</v>
      </c>
      <c r="J19" s="23"/>
      <c r="K19" s="36" t="s">
        <v>16</v>
      </c>
      <c r="L19" s="23"/>
    </row>
    <row r="20" spans="1:12">
      <c r="A20" s="86"/>
      <c r="B20" s="87"/>
      <c r="C20" s="1" t="s">
        <v>0</v>
      </c>
      <c r="D20" s="2">
        <v>17.5</v>
      </c>
      <c r="E20" s="1" t="s">
        <v>0</v>
      </c>
      <c r="F20" s="2">
        <v>20.2</v>
      </c>
      <c r="G20" s="1" t="s">
        <v>0</v>
      </c>
      <c r="H20" s="2">
        <v>15.3</v>
      </c>
      <c r="I20" s="1" t="s">
        <v>0</v>
      </c>
      <c r="J20" s="2">
        <v>14.7</v>
      </c>
      <c r="K20" s="1" t="s">
        <v>0</v>
      </c>
      <c r="L20" s="2">
        <v>19.600000000000001</v>
      </c>
    </row>
    <row r="21" spans="1:12" ht="17" thickBot="1">
      <c r="A21" s="86"/>
      <c r="B21" s="87"/>
      <c r="C21" s="3" t="s">
        <v>1</v>
      </c>
      <c r="D21" s="4">
        <v>0</v>
      </c>
      <c r="E21" s="3" t="s">
        <v>1</v>
      </c>
      <c r="F21" s="4">
        <v>1</v>
      </c>
      <c r="G21" s="3" t="s">
        <v>1</v>
      </c>
      <c r="H21" s="4">
        <v>0</v>
      </c>
      <c r="I21" s="3" t="s">
        <v>1</v>
      </c>
      <c r="J21" s="4">
        <v>0</v>
      </c>
      <c r="K21" s="3" t="s">
        <v>1</v>
      </c>
      <c r="L21" s="4">
        <v>0</v>
      </c>
    </row>
    <row r="22" spans="1:12">
      <c r="A22" s="86"/>
      <c r="B22" s="87"/>
      <c r="C22" s="36" t="s">
        <v>17</v>
      </c>
      <c r="D22" s="23"/>
      <c r="E22" s="36" t="s">
        <v>18</v>
      </c>
      <c r="F22" s="23"/>
      <c r="G22" s="36" t="s">
        <v>19</v>
      </c>
      <c r="H22" s="23"/>
      <c r="I22" s="36" t="s">
        <v>20</v>
      </c>
      <c r="J22" s="23"/>
      <c r="K22" s="36" t="s">
        <v>21</v>
      </c>
      <c r="L22" s="23"/>
    </row>
    <row r="23" spans="1:12">
      <c r="A23" s="86"/>
      <c r="B23" s="87"/>
      <c r="C23" s="1" t="s">
        <v>0</v>
      </c>
      <c r="D23" s="2">
        <v>13.8</v>
      </c>
      <c r="E23" s="1" t="s">
        <v>0</v>
      </c>
      <c r="F23" s="2">
        <v>16</v>
      </c>
      <c r="G23" s="1" t="s">
        <v>0</v>
      </c>
      <c r="H23" s="2">
        <v>19.899999999999999</v>
      </c>
      <c r="I23" s="1" t="s">
        <v>0</v>
      </c>
      <c r="J23" s="2">
        <v>16.5</v>
      </c>
      <c r="K23" s="1" t="s">
        <v>0</v>
      </c>
      <c r="L23" s="2">
        <v>16.3</v>
      </c>
    </row>
    <row r="24" spans="1:12" ht="17" thickBot="1">
      <c r="A24" s="88"/>
      <c r="B24" s="89"/>
      <c r="C24" s="3" t="s">
        <v>1</v>
      </c>
      <c r="D24" s="4">
        <v>1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0</v>
      </c>
    </row>
  </sheetData>
  <mergeCells count="44">
    <mergeCell ref="C4:D4"/>
    <mergeCell ref="E4:H4"/>
    <mergeCell ref="I9:J9"/>
    <mergeCell ref="K9:L9"/>
    <mergeCell ref="A1:B4"/>
    <mergeCell ref="C1:D1"/>
    <mergeCell ref="E1:H1"/>
    <mergeCell ref="I1:L4"/>
    <mergeCell ref="C2:D2"/>
    <mergeCell ref="E2:H2"/>
    <mergeCell ref="C3:D3"/>
    <mergeCell ref="E3:H3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16:J16"/>
    <mergeCell ref="K16:L16"/>
    <mergeCell ref="C19:D19"/>
    <mergeCell ref="E19:F19"/>
    <mergeCell ref="G19:H19"/>
    <mergeCell ref="I19:J19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K19:L19"/>
    <mergeCell ref="C22:D22"/>
    <mergeCell ref="E22:F22"/>
    <mergeCell ref="G22:H22"/>
    <mergeCell ref="I22:J22"/>
    <mergeCell ref="K22:L2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4172-9B4D-B74A-91FC-732F819B2920}">
  <dimension ref="A1:AG24"/>
  <sheetViews>
    <sheetView topLeftCell="J1" workbookViewId="0">
      <selection activeCell="N15" sqref="N15:AG15"/>
    </sheetView>
  </sheetViews>
  <sheetFormatPr baseColWidth="10" defaultRowHeight="16"/>
  <cols>
    <col min="3" max="4" width="10.83203125" customWidth="1"/>
  </cols>
  <sheetData>
    <row r="1" spans="1:33">
      <c r="A1" s="17" t="s">
        <v>77</v>
      </c>
      <c r="B1" s="26"/>
      <c r="C1" s="36" t="s">
        <v>76</v>
      </c>
      <c r="D1" s="18"/>
      <c r="E1" s="18"/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43" t="s">
        <v>74</v>
      </c>
      <c r="F2" s="44"/>
      <c r="G2" s="44"/>
      <c r="H2" s="45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46">
        <v>0</v>
      </c>
      <c r="F3" s="44"/>
      <c r="G3" s="44"/>
      <c r="H3" s="45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49">
        <v>200</v>
      </c>
      <c r="F4" s="50"/>
      <c r="G4" s="50"/>
      <c r="H4" s="51"/>
      <c r="I4" s="29"/>
      <c r="J4" s="29"/>
      <c r="K4" s="29"/>
      <c r="L4" s="35"/>
    </row>
    <row r="5" spans="1:33" ht="17" thickBot="1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33" ht="16" customHeight="1">
      <c r="A6" s="30" t="s">
        <v>70</v>
      </c>
      <c r="B6" s="85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86"/>
      <c r="B7" s="87"/>
      <c r="C7" s="1" t="s">
        <v>0</v>
      </c>
      <c r="D7" s="2">
        <v>13.2</v>
      </c>
      <c r="E7" s="1" t="s">
        <v>0</v>
      </c>
      <c r="F7" s="2">
        <v>13.9</v>
      </c>
      <c r="G7" s="1" t="s">
        <v>0</v>
      </c>
      <c r="H7" s="2">
        <v>9.6</v>
      </c>
      <c r="I7" s="1" t="s">
        <v>0</v>
      </c>
      <c r="J7" s="2">
        <v>10</v>
      </c>
      <c r="K7" s="1" t="s">
        <v>0</v>
      </c>
      <c r="L7" s="2">
        <v>8.1999999999999993</v>
      </c>
      <c r="N7">
        <f>D7</f>
        <v>13.2</v>
      </c>
      <c r="O7">
        <f>F7</f>
        <v>13.9</v>
      </c>
      <c r="P7">
        <f>H7</f>
        <v>9.6</v>
      </c>
      <c r="Q7">
        <f>J7</f>
        <v>10</v>
      </c>
      <c r="R7">
        <f>L7</f>
        <v>8.1999999999999993</v>
      </c>
      <c r="S7">
        <f>D10</f>
        <v>8.1999999999999993</v>
      </c>
      <c r="T7">
        <f>F10</f>
        <v>8</v>
      </c>
      <c r="U7">
        <f>H10</f>
        <v>8</v>
      </c>
      <c r="V7">
        <f>J10</f>
        <v>7.2</v>
      </c>
      <c r="W7">
        <f>L10</f>
        <v>7.4</v>
      </c>
    </row>
    <row r="8" spans="1:33" ht="17" thickBot="1">
      <c r="A8" s="86"/>
      <c r="B8" s="87"/>
      <c r="C8" s="3" t="s">
        <v>1</v>
      </c>
      <c r="D8" s="4">
        <v>0</v>
      </c>
      <c r="E8" s="3" t="s">
        <v>1</v>
      </c>
      <c r="F8" s="4">
        <v>1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0</v>
      </c>
      <c r="N8">
        <f>D8</f>
        <v>0</v>
      </c>
      <c r="O8">
        <f>F8</f>
        <v>1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1</v>
      </c>
      <c r="U8">
        <f>H11</f>
        <v>1</v>
      </c>
      <c r="V8">
        <f>J11</f>
        <v>0</v>
      </c>
      <c r="W8">
        <f>L11</f>
        <v>0</v>
      </c>
    </row>
    <row r="9" spans="1:33">
      <c r="A9" s="86"/>
      <c r="B9" s="87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86"/>
      <c r="B10" s="87"/>
      <c r="C10" s="1" t="s">
        <v>0</v>
      </c>
      <c r="D10" s="2">
        <v>8.1999999999999993</v>
      </c>
      <c r="E10" s="1" t="s">
        <v>0</v>
      </c>
      <c r="F10" s="2">
        <v>8</v>
      </c>
      <c r="G10" s="1" t="s">
        <v>0</v>
      </c>
      <c r="H10" s="2">
        <v>8</v>
      </c>
      <c r="I10" s="1" t="s">
        <v>0</v>
      </c>
      <c r="J10" s="2">
        <v>7.2</v>
      </c>
      <c r="K10" s="1" t="s">
        <v>0</v>
      </c>
      <c r="L10" s="2">
        <v>7.4</v>
      </c>
    </row>
    <row r="11" spans="1:33" ht="17" thickBot="1">
      <c r="A11" s="86"/>
      <c r="B11" s="87"/>
      <c r="C11" s="14" t="s">
        <v>1</v>
      </c>
      <c r="D11" s="13">
        <v>0</v>
      </c>
      <c r="E11" s="14" t="s">
        <v>1</v>
      </c>
      <c r="F11" s="13">
        <v>1</v>
      </c>
      <c r="G11" s="14" t="s">
        <v>1</v>
      </c>
      <c r="H11" s="13">
        <v>1</v>
      </c>
      <c r="I11" s="14" t="s">
        <v>1</v>
      </c>
      <c r="J11" s="13">
        <v>0</v>
      </c>
      <c r="K11" s="14" t="s">
        <v>1</v>
      </c>
      <c r="L11" s="13">
        <v>0</v>
      </c>
    </row>
    <row r="12" spans="1:33" ht="17" thickBot="1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33" ht="17" customHeight="1">
      <c r="A13" s="30" t="s">
        <v>69</v>
      </c>
      <c r="B13" s="85"/>
      <c r="C13" s="90" t="s">
        <v>2</v>
      </c>
      <c r="D13" s="91"/>
      <c r="E13" s="90" t="s">
        <v>3</v>
      </c>
      <c r="F13" s="91"/>
      <c r="G13" s="90" t="s">
        <v>4</v>
      </c>
      <c r="H13" s="91"/>
      <c r="I13" s="90" t="s">
        <v>5</v>
      </c>
      <c r="J13" s="91"/>
      <c r="K13" s="90" t="s">
        <v>6</v>
      </c>
      <c r="L13" s="91"/>
    </row>
    <row r="14" spans="1:33">
      <c r="A14" s="86"/>
      <c r="B14" s="87"/>
      <c r="C14" s="1" t="s">
        <v>0</v>
      </c>
      <c r="D14" s="2">
        <v>22.9</v>
      </c>
      <c r="E14" s="1" t="s">
        <v>0</v>
      </c>
      <c r="F14" s="2">
        <v>28</v>
      </c>
      <c r="G14" s="1" t="s">
        <v>0</v>
      </c>
      <c r="H14" s="2">
        <v>23.7</v>
      </c>
      <c r="I14" s="1" t="s">
        <v>0</v>
      </c>
      <c r="J14" s="2">
        <v>25.5</v>
      </c>
      <c r="K14" s="1" t="s">
        <v>0</v>
      </c>
      <c r="L14" s="2">
        <v>19.2</v>
      </c>
      <c r="N14">
        <f>D14</f>
        <v>22.9</v>
      </c>
      <c r="O14">
        <f>F14</f>
        <v>28</v>
      </c>
      <c r="P14">
        <f>H14</f>
        <v>23.7</v>
      </c>
      <c r="Q14">
        <f>J14</f>
        <v>25.5</v>
      </c>
      <c r="R14">
        <f>L14</f>
        <v>19.2</v>
      </c>
      <c r="S14">
        <f>D17</f>
        <v>19.100000000000001</v>
      </c>
      <c r="T14">
        <f>F17</f>
        <v>20.100000000000001</v>
      </c>
      <c r="U14">
        <f>H17</f>
        <v>21.2</v>
      </c>
      <c r="V14">
        <f>J17</f>
        <v>20.2</v>
      </c>
      <c r="W14">
        <f>L17</f>
        <v>20.399999999999999</v>
      </c>
      <c r="X14">
        <f>D20</f>
        <v>19.7</v>
      </c>
      <c r="Y14">
        <f>F20</f>
        <v>20.7</v>
      </c>
      <c r="Z14">
        <f>H20</f>
        <v>22.3</v>
      </c>
      <c r="AA14">
        <f>J20</f>
        <v>18.3</v>
      </c>
      <c r="AB14">
        <f>L20</f>
        <v>16.899999999999999</v>
      </c>
      <c r="AC14">
        <f>D23</f>
        <v>16.899999999999999</v>
      </c>
      <c r="AD14">
        <f>F23</f>
        <v>15.6</v>
      </c>
      <c r="AE14">
        <f>H23</f>
        <v>15.2</v>
      </c>
      <c r="AF14">
        <f>J23</f>
        <v>13.2</v>
      </c>
      <c r="AG14">
        <f>L23</f>
        <v>13.4</v>
      </c>
    </row>
    <row r="15" spans="1:33" ht="17" thickBot="1">
      <c r="A15" s="86"/>
      <c r="B15" s="87"/>
      <c r="C15" s="3" t="s">
        <v>1</v>
      </c>
      <c r="D15" s="4">
        <v>0</v>
      </c>
      <c r="E15" s="3" t="s">
        <v>1</v>
      </c>
      <c r="F15" s="4">
        <v>0</v>
      </c>
      <c r="G15" s="3" t="s">
        <v>1</v>
      </c>
      <c r="H15" s="4">
        <v>0</v>
      </c>
      <c r="I15" s="3" t="s">
        <v>1</v>
      </c>
      <c r="J15" s="4">
        <v>0</v>
      </c>
      <c r="K15" s="3" t="s">
        <v>1</v>
      </c>
      <c r="L15" s="4">
        <v>1</v>
      </c>
      <c r="N15">
        <f>D15</f>
        <v>0</v>
      </c>
      <c r="O15">
        <f>F15</f>
        <v>0</v>
      </c>
      <c r="P15">
        <f>H15</f>
        <v>0</v>
      </c>
      <c r="Q15">
        <f>J15</f>
        <v>0</v>
      </c>
      <c r="R15">
        <f>L15</f>
        <v>1</v>
      </c>
      <c r="S15">
        <f>D18</f>
        <v>1</v>
      </c>
      <c r="T15">
        <f>F18</f>
        <v>0</v>
      </c>
      <c r="U15">
        <f>H18</f>
        <v>1</v>
      </c>
      <c r="V15">
        <f>J18</f>
        <v>2</v>
      </c>
      <c r="W15">
        <f>L18</f>
        <v>0</v>
      </c>
      <c r="X15">
        <f>D21</f>
        <v>0</v>
      </c>
      <c r="Y15">
        <f>F21</f>
        <v>0</v>
      </c>
      <c r="Z15">
        <f>H21</f>
        <v>1</v>
      </c>
      <c r="AA15">
        <f>J21</f>
        <v>0</v>
      </c>
      <c r="AB15">
        <f>L21</f>
        <v>0</v>
      </c>
      <c r="AC15">
        <f>D24</f>
        <v>1</v>
      </c>
      <c r="AD15">
        <f>F24</f>
        <v>0</v>
      </c>
      <c r="AE15">
        <f>H24</f>
        <v>0</v>
      </c>
      <c r="AF15">
        <f>J24</f>
        <v>0</v>
      </c>
      <c r="AG15">
        <f>L24</f>
        <v>0</v>
      </c>
    </row>
    <row r="16" spans="1:33">
      <c r="A16" s="86"/>
      <c r="B16" s="87"/>
      <c r="C16" s="36" t="s">
        <v>7</v>
      </c>
      <c r="D16" s="23"/>
      <c r="E16" s="36" t="s">
        <v>8</v>
      </c>
      <c r="F16" s="23"/>
      <c r="G16" s="36" t="s">
        <v>9</v>
      </c>
      <c r="H16" s="23"/>
      <c r="I16" s="36" t="s">
        <v>10</v>
      </c>
      <c r="J16" s="23"/>
      <c r="K16" s="36" t="s">
        <v>11</v>
      </c>
      <c r="L16" s="23"/>
    </row>
    <row r="17" spans="1:12">
      <c r="A17" s="86"/>
      <c r="B17" s="87"/>
      <c r="C17" s="1" t="s">
        <v>0</v>
      </c>
      <c r="D17">
        <v>19.100000000000001</v>
      </c>
      <c r="E17" s="1" t="s">
        <v>0</v>
      </c>
      <c r="F17" s="2">
        <v>20.100000000000001</v>
      </c>
      <c r="G17" s="1" t="s">
        <v>0</v>
      </c>
      <c r="H17" s="2">
        <v>21.2</v>
      </c>
      <c r="I17" s="1" t="s">
        <v>0</v>
      </c>
      <c r="J17" s="2">
        <v>20.2</v>
      </c>
      <c r="K17" s="1" t="s">
        <v>0</v>
      </c>
      <c r="L17" s="2">
        <v>20.399999999999999</v>
      </c>
    </row>
    <row r="18" spans="1:12" ht="17" thickBot="1">
      <c r="A18" s="86"/>
      <c r="B18" s="87"/>
      <c r="C18" s="3" t="s">
        <v>1</v>
      </c>
      <c r="D18" s="4">
        <v>1</v>
      </c>
      <c r="E18" s="3" t="s">
        <v>1</v>
      </c>
      <c r="F18" s="4">
        <v>0</v>
      </c>
      <c r="G18" s="3" t="s">
        <v>1</v>
      </c>
      <c r="H18" s="4">
        <v>1</v>
      </c>
      <c r="I18" s="3" t="s">
        <v>1</v>
      </c>
      <c r="J18" s="4">
        <v>2</v>
      </c>
      <c r="K18" s="3" t="s">
        <v>1</v>
      </c>
      <c r="L18" s="4">
        <v>0</v>
      </c>
    </row>
    <row r="19" spans="1:12" ht="16" customHeight="1">
      <c r="A19" s="86"/>
      <c r="B19" s="87"/>
      <c r="C19" s="36" t="s">
        <v>12</v>
      </c>
      <c r="D19" s="23"/>
      <c r="E19" s="36" t="s">
        <v>13</v>
      </c>
      <c r="F19" s="23"/>
      <c r="G19" s="36" t="s">
        <v>14</v>
      </c>
      <c r="H19" s="23"/>
      <c r="I19" s="36" t="s">
        <v>15</v>
      </c>
      <c r="J19" s="23"/>
      <c r="K19" s="36" t="s">
        <v>16</v>
      </c>
      <c r="L19" s="23"/>
    </row>
    <row r="20" spans="1:12">
      <c r="A20" s="86"/>
      <c r="B20" s="87"/>
      <c r="C20" s="1" t="s">
        <v>0</v>
      </c>
      <c r="D20" s="2">
        <v>19.7</v>
      </c>
      <c r="E20" s="1" t="s">
        <v>0</v>
      </c>
      <c r="F20" s="2">
        <v>20.7</v>
      </c>
      <c r="G20" s="1" t="s">
        <v>0</v>
      </c>
      <c r="H20" s="2">
        <v>22.3</v>
      </c>
      <c r="I20" s="1" t="s">
        <v>0</v>
      </c>
      <c r="J20" s="2">
        <v>18.3</v>
      </c>
      <c r="K20" s="1" t="s">
        <v>0</v>
      </c>
      <c r="L20" s="2">
        <v>16.899999999999999</v>
      </c>
    </row>
    <row r="21" spans="1:12" ht="17" thickBot="1">
      <c r="A21" s="86"/>
      <c r="B21" s="87"/>
      <c r="C21" s="3" t="s">
        <v>1</v>
      </c>
      <c r="D21" s="4">
        <v>0</v>
      </c>
      <c r="E21" s="3" t="s">
        <v>1</v>
      </c>
      <c r="F21" s="4">
        <v>0</v>
      </c>
      <c r="G21" s="3" t="s">
        <v>1</v>
      </c>
      <c r="H21" s="4">
        <v>1</v>
      </c>
      <c r="I21" s="3" t="s">
        <v>1</v>
      </c>
      <c r="J21" s="4">
        <v>0</v>
      </c>
      <c r="K21" s="3" t="s">
        <v>1</v>
      </c>
      <c r="L21" s="4">
        <v>0</v>
      </c>
    </row>
    <row r="22" spans="1:12">
      <c r="A22" s="86"/>
      <c r="B22" s="87"/>
      <c r="C22" s="36" t="s">
        <v>17</v>
      </c>
      <c r="D22" s="23"/>
      <c r="E22" s="36" t="s">
        <v>18</v>
      </c>
      <c r="F22" s="23"/>
      <c r="G22" s="36" t="s">
        <v>19</v>
      </c>
      <c r="H22" s="23"/>
      <c r="I22" s="36" t="s">
        <v>20</v>
      </c>
      <c r="J22" s="23"/>
      <c r="K22" s="36" t="s">
        <v>21</v>
      </c>
      <c r="L22" s="23"/>
    </row>
    <row r="23" spans="1:12">
      <c r="A23" s="86"/>
      <c r="B23" s="87"/>
      <c r="C23" s="1" t="s">
        <v>0</v>
      </c>
      <c r="D23" s="2">
        <v>16.899999999999999</v>
      </c>
      <c r="E23" s="1" t="s">
        <v>0</v>
      </c>
      <c r="F23" s="2">
        <v>15.6</v>
      </c>
      <c r="G23" s="1" t="s">
        <v>0</v>
      </c>
      <c r="H23" s="2">
        <v>15.2</v>
      </c>
      <c r="I23" s="1" t="s">
        <v>0</v>
      </c>
      <c r="J23" s="2">
        <v>13.2</v>
      </c>
      <c r="K23" s="1" t="s">
        <v>0</v>
      </c>
      <c r="L23" s="2">
        <v>13.4</v>
      </c>
    </row>
    <row r="24" spans="1:12" ht="17" thickBot="1">
      <c r="A24" s="88"/>
      <c r="B24" s="89"/>
      <c r="C24" s="3" t="s">
        <v>1</v>
      </c>
      <c r="D24" s="4">
        <v>1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0</v>
      </c>
    </row>
  </sheetData>
  <mergeCells count="44"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B9ED-D503-4246-BC7B-E07294EDE450}">
  <dimension ref="A1:AG24"/>
  <sheetViews>
    <sheetView topLeftCell="M1" workbookViewId="0">
      <selection activeCell="N15" sqref="N15:AG15"/>
    </sheetView>
  </sheetViews>
  <sheetFormatPr baseColWidth="10" defaultRowHeight="16"/>
  <cols>
    <col min="3" max="4" width="10.83203125" customWidth="1"/>
  </cols>
  <sheetData>
    <row r="1" spans="1:33">
      <c r="A1" s="17" t="s">
        <v>77</v>
      </c>
      <c r="B1" s="26"/>
      <c r="C1" s="36" t="s">
        <v>76</v>
      </c>
      <c r="D1" s="18"/>
      <c r="E1" s="18" t="s">
        <v>84</v>
      </c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43" t="s">
        <v>74</v>
      </c>
      <c r="F2" s="44"/>
      <c r="G2" s="44"/>
      <c r="H2" s="45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46" t="s">
        <v>83</v>
      </c>
      <c r="F3" s="44"/>
      <c r="G3" s="44"/>
      <c r="H3" s="45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49">
        <v>240</v>
      </c>
      <c r="F4" s="50"/>
      <c r="G4" s="50"/>
      <c r="H4" s="51"/>
      <c r="I4" s="29"/>
      <c r="J4" s="29"/>
      <c r="K4" s="29"/>
      <c r="L4" s="35"/>
    </row>
    <row r="5" spans="1:33" ht="17" thickBot="1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33" ht="16" customHeight="1">
      <c r="A6" s="30" t="s">
        <v>70</v>
      </c>
      <c r="B6" s="85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86"/>
      <c r="B7" s="87"/>
      <c r="C7" s="1" t="s">
        <v>0</v>
      </c>
      <c r="D7" s="2">
        <v>10.1</v>
      </c>
      <c r="E7" s="1" t="s">
        <v>0</v>
      </c>
      <c r="F7" s="2">
        <v>7.6</v>
      </c>
      <c r="G7" s="1" t="s">
        <v>0</v>
      </c>
      <c r="H7" s="2">
        <v>8.6999999999999993</v>
      </c>
      <c r="I7" s="1" t="s">
        <v>0</v>
      </c>
      <c r="J7" s="2">
        <v>11</v>
      </c>
      <c r="K7" s="1" t="s">
        <v>0</v>
      </c>
      <c r="L7" s="2">
        <v>9.9</v>
      </c>
      <c r="N7">
        <f>D7</f>
        <v>10.1</v>
      </c>
      <c r="O7">
        <f>F7</f>
        <v>7.6</v>
      </c>
      <c r="P7">
        <f>H7</f>
        <v>8.6999999999999993</v>
      </c>
      <c r="Q7">
        <f>J7</f>
        <v>11</v>
      </c>
      <c r="R7">
        <f>L7</f>
        <v>9.9</v>
      </c>
      <c r="S7">
        <f>D10</f>
        <v>8.6</v>
      </c>
      <c r="T7">
        <f>F10</f>
        <v>7</v>
      </c>
      <c r="U7">
        <f>H10</f>
        <v>7.3</v>
      </c>
      <c r="V7">
        <f>J10</f>
        <v>8.1</v>
      </c>
      <c r="W7">
        <f>L10</f>
        <v>7.5</v>
      </c>
    </row>
    <row r="8" spans="1:33" ht="17" thickBot="1">
      <c r="A8" s="86"/>
      <c r="B8" s="87"/>
      <c r="C8" s="3" t="s">
        <v>1</v>
      </c>
      <c r="D8" s="4">
        <v>1</v>
      </c>
      <c r="E8" s="3" t="s">
        <v>1</v>
      </c>
      <c r="F8" s="4">
        <v>0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0</v>
      </c>
      <c r="N8">
        <f>D8</f>
        <v>1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86"/>
      <c r="B9" s="87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86"/>
      <c r="B10" s="87"/>
      <c r="C10" s="1" t="s">
        <v>0</v>
      </c>
      <c r="D10" s="2">
        <v>8.6</v>
      </c>
      <c r="E10" s="1" t="s">
        <v>0</v>
      </c>
      <c r="F10" s="2">
        <v>7</v>
      </c>
      <c r="G10" s="1" t="s">
        <v>0</v>
      </c>
      <c r="H10" s="2">
        <v>7.3</v>
      </c>
      <c r="I10" s="1" t="s">
        <v>0</v>
      </c>
      <c r="J10" s="2">
        <v>8.1</v>
      </c>
      <c r="K10" s="1" t="s">
        <v>0</v>
      </c>
      <c r="L10" s="2">
        <v>7.5</v>
      </c>
    </row>
    <row r="11" spans="1:33" ht="17" thickBot="1">
      <c r="A11" s="86"/>
      <c r="B11" s="87"/>
      <c r="C11" s="14" t="s">
        <v>1</v>
      </c>
      <c r="D11" s="13">
        <v>0</v>
      </c>
      <c r="E11" s="14" t="s">
        <v>1</v>
      </c>
      <c r="F11" s="13">
        <v>0</v>
      </c>
      <c r="G11" s="14" t="s">
        <v>1</v>
      </c>
      <c r="H11" s="13">
        <v>0</v>
      </c>
      <c r="I11" s="14" t="s">
        <v>1</v>
      </c>
      <c r="J11" s="13">
        <v>0</v>
      </c>
      <c r="K11" s="14" t="s">
        <v>1</v>
      </c>
      <c r="L11" s="13">
        <v>0</v>
      </c>
    </row>
    <row r="12" spans="1:33" ht="17" thickBot="1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33" ht="17" customHeight="1">
      <c r="A13" s="30" t="s">
        <v>69</v>
      </c>
      <c r="B13" s="85"/>
      <c r="C13" s="90" t="s">
        <v>2</v>
      </c>
      <c r="D13" s="91"/>
      <c r="E13" s="90" t="s">
        <v>3</v>
      </c>
      <c r="F13" s="91"/>
      <c r="G13" s="90" t="s">
        <v>4</v>
      </c>
      <c r="H13" s="91"/>
      <c r="I13" s="90" t="s">
        <v>5</v>
      </c>
      <c r="J13" s="91"/>
      <c r="K13" s="90" t="s">
        <v>6</v>
      </c>
      <c r="L13" s="91"/>
    </row>
    <row r="14" spans="1:33">
      <c r="A14" s="86"/>
      <c r="B14" s="87"/>
      <c r="C14" s="1" t="s">
        <v>0</v>
      </c>
      <c r="D14" s="2">
        <v>21</v>
      </c>
      <c r="E14" s="1" t="s">
        <v>0</v>
      </c>
      <c r="F14" s="2">
        <v>23.2</v>
      </c>
      <c r="G14" s="1" t="s">
        <v>0</v>
      </c>
      <c r="H14" s="2">
        <v>20</v>
      </c>
      <c r="I14" s="1" t="s">
        <v>0</v>
      </c>
      <c r="J14" s="2">
        <v>17.2</v>
      </c>
      <c r="K14" s="1" t="s">
        <v>0</v>
      </c>
      <c r="L14" s="2">
        <v>17.7</v>
      </c>
      <c r="N14">
        <f>D14</f>
        <v>21</v>
      </c>
      <c r="O14">
        <f>F14</f>
        <v>23.2</v>
      </c>
      <c r="P14">
        <f>H14</f>
        <v>20</v>
      </c>
      <c r="Q14">
        <f>J14</f>
        <v>17.2</v>
      </c>
      <c r="R14">
        <f>L14</f>
        <v>17.7</v>
      </c>
      <c r="S14">
        <f>D17</f>
        <v>24.3</v>
      </c>
      <c r="T14">
        <f>F17</f>
        <v>18</v>
      </c>
      <c r="U14">
        <f>H17</f>
        <v>19.2</v>
      </c>
      <c r="V14">
        <f>J17</f>
        <v>17.7</v>
      </c>
      <c r="W14">
        <f>L17</f>
        <v>18.600000000000001</v>
      </c>
      <c r="X14">
        <f>D20</f>
        <v>17.8</v>
      </c>
      <c r="Y14">
        <f>F20</f>
        <v>20.399999999999999</v>
      </c>
      <c r="Z14">
        <f>H20</f>
        <v>16.399999999999999</v>
      </c>
      <c r="AA14">
        <f>J20</f>
        <v>18.2</v>
      </c>
      <c r="AB14">
        <f>L20</f>
        <v>17.5</v>
      </c>
      <c r="AC14">
        <f>D23</f>
        <v>17.399999999999999</v>
      </c>
      <c r="AD14">
        <f>F23</f>
        <v>18.2</v>
      </c>
      <c r="AE14">
        <f>H23</f>
        <v>20</v>
      </c>
      <c r="AF14">
        <f>J23</f>
        <v>16.899999999999999</v>
      </c>
      <c r="AG14">
        <f>L23</f>
        <v>17.899999999999999</v>
      </c>
    </row>
    <row r="15" spans="1:33" ht="17" thickBot="1">
      <c r="A15" s="86"/>
      <c r="B15" s="87"/>
      <c r="C15" s="3" t="s">
        <v>1</v>
      </c>
      <c r="D15" s="4">
        <v>0</v>
      </c>
      <c r="E15" s="3" t="s">
        <v>1</v>
      </c>
      <c r="F15" s="4">
        <v>1</v>
      </c>
      <c r="G15" s="3" t="s">
        <v>1</v>
      </c>
      <c r="H15" s="4">
        <v>0</v>
      </c>
      <c r="I15" s="3" t="s">
        <v>1</v>
      </c>
      <c r="J15" s="4">
        <v>1</v>
      </c>
      <c r="K15" s="3" t="s">
        <v>1</v>
      </c>
      <c r="L15" s="4">
        <v>1</v>
      </c>
      <c r="N15">
        <f>D15</f>
        <v>0</v>
      </c>
      <c r="O15">
        <f>F15</f>
        <v>1</v>
      </c>
      <c r="P15">
        <f>H15</f>
        <v>0</v>
      </c>
      <c r="Q15">
        <f>J15</f>
        <v>1</v>
      </c>
      <c r="R15">
        <f>L15</f>
        <v>1</v>
      </c>
      <c r="S15">
        <f>D18</f>
        <v>1</v>
      </c>
      <c r="T15">
        <f>F18</f>
        <v>0</v>
      </c>
      <c r="U15">
        <f>H18</f>
        <v>0</v>
      </c>
      <c r="V15">
        <f>J18</f>
        <v>0</v>
      </c>
      <c r="W15">
        <f>L18</f>
        <v>0</v>
      </c>
      <c r="X15">
        <f>D21</f>
        <v>0</v>
      </c>
      <c r="Y15">
        <f>F21</f>
        <v>1</v>
      </c>
      <c r="Z15">
        <f>H21</f>
        <v>1</v>
      </c>
      <c r="AA15">
        <f>J21</f>
        <v>0</v>
      </c>
      <c r="AB15">
        <f>L21</f>
        <v>1</v>
      </c>
      <c r="AC15">
        <f>D24</f>
        <v>0</v>
      </c>
      <c r="AD15">
        <f>F24</f>
        <v>0</v>
      </c>
      <c r="AE15">
        <f>H24</f>
        <v>0</v>
      </c>
      <c r="AF15">
        <f>J24</f>
        <v>0</v>
      </c>
      <c r="AG15">
        <f>L24</f>
        <v>1</v>
      </c>
    </row>
    <row r="16" spans="1:33">
      <c r="A16" s="86"/>
      <c r="B16" s="87"/>
      <c r="C16" s="36" t="s">
        <v>7</v>
      </c>
      <c r="D16" s="23"/>
      <c r="E16" s="36" t="s">
        <v>8</v>
      </c>
      <c r="F16" s="23"/>
      <c r="G16" s="36" t="s">
        <v>9</v>
      </c>
      <c r="H16" s="23"/>
      <c r="I16" s="36" t="s">
        <v>10</v>
      </c>
      <c r="J16" s="23"/>
      <c r="K16" s="36" t="s">
        <v>11</v>
      </c>
      <c r="L16" s="23"/>
    </row>
    <row r="17" spans="1:12">
      <c r="A17" s="86"/>
      <c r="B17" s="87"/>
      <c r="C17" s="1" t="s">
        <v>0</v>
      </c>
      <c r="D17">
        <v>24.3</v>
      </c>
      <c r="E17" s="1" t="s">
        <v>0</v>
      </c>
      <c r="F17" s="2">
        <v>18</v>
      </c>
      <c r="G17" s="1" t="s">
        <v>0</v>
      </c>
      <c r="H17" s="2">
        <v>19.2</v>
      </c>
      <c r="I17" s="1" t="s">
        <v>0</v>
      </c>
      <c r="J17" s="2">
        <v>17.7</v>
      </c>
      <c r="K17" s="1" t="s">
        <v>0</v>
      </c>
      <c r="L17" s="2">
        <v>18.600000000000001</v>
      </c>
    </row>
    <row r="18" spans="1:12" ht="17" thickBot="1">
      <c r="A18" s="86"/>
      <c r="B18" s="87"/>
      <c r="C18" s="3" t="s">
        <v>1</v>
      </c>
      <c r="D18" s="4">
        <v>1</v>
      </c>
      <c r="E18" s="3" t="s">
        <v>1</v>
      </c>
      <c r="F18" s="4">
        <v>0</v>
      </c>
      <c r="G18" s="3" t="s">
        <v>1</v>
      </c>
      <c r="H18" s="4">
        <v>0</v>
      </c>
      <c r="I18" s="3" t="s">
        <v>1</v>
      </c>
      <c r="J18" s="4">
        <v>0</v>
      </c>
      <c r="K18" s="3" t="s">
        <v>1</v>
      </c>
      <c r="L18" s="4"/>
    </row>
    <row r="19" spans="1:12" ht="16" customHeight="1">
      <c r="A19" s="86"/>
      <c r="B19" s="87"/>
      <c r="C19" s="36" t="s">
        <v>12</v>
      </c>
      <c r="D19" s="23"/>
      <c r="E19" s="36" t="s">
        <v>13</v>
      </c>
      <c r="F19" s="23"/>
      <c r="G19" s="36" t="s">
        <v>14</v>
      </c>
      <c r="H19" s="23"/>
      <c r="I19" s="36" t="s">
        <v>15</v>
      </c>
      <c r="J19" s="23"/>
      <c r="K19" s="36" t="s">
        <v>16</v>
      </c>
      <c r="L19" s="23"/>
    </row>
    <row r="20" spans="1:12">
      <c r="A20" s="86"/>
      <c r="B20" s="87"/>
      <c r="C20" s="1" t="s">
        <v>0</v>
      </c>
      <c r="D20" s="2">
        <v>17.8</v>
      </c>
      <c r="E20" s="1" t="s">
        <v>0</v>
      </c>
      <c r="F20" s="2">
        <v>20.399999999999999</v>
      </c>
      <c r="G20" s="1" t="s">
        <v>0</v>
      </c>
      <c r="H20" s="2">
        <v>16.399999999999999</v>
      </c>
      <c r="I20" s="1" t="s">
        <v>0</v>
      </c>
      <c r="J20" s="2">
        <v>18.2</v>
      </c>
      <c r="K20" s="1" t="s">
        <v>0</v>
      </c>
      <c r="L20" s="2">
        <v>17.5</v>
      </c>
    </row>
    <row r="21" spans="1:12" ht="17" thickBot="1">
      <c r="A21" s="86"/>
      <c r="B21" s="87"/>
      <c r="C21" s="3" t="s">
        <v>1</v>
      </c>
      <c r="D21" s="4">
        <v>0</v>
      </c>
      <c r="E21" s="3" t="s">
        <v>1</v>
      </c>
      <c r="F21" s="4">
        <v>1</v>
      </c>
      <c r="G21" s="3" t="s">
        <v>1</v>
      </c>
      <c r="H21" s="4">
        <v>1</v>
      </c>
      <c r="I21" s="3" t="s">
        <v>1</v>
      </c>
      <c r="J21" s="4">
        <v>0</v>
      </c>
      <c r="K21" s="3" t="s">
        <v>1</v>
      </c>
      <c r="L21" s="4">
        <v>1</v>
      </c>
    </row>
    <row r="22" spans="1:12">
      <c r="A22" s="86"/>
      <c r="B22" s="87"/>
      <c r="C22" s="36" t="s">
        <v>17</v>
      </c>
      <c r="D22" s="23"/>
      <c r="E22" s="36" t="s">
        <v>18</v>
      </c>
      <c r="F22" s="23"/>
      <c r="G22" s="36" t="s">
        <v>19</v>
      </c>
      <c r="H22" s="23"/>
      <c r="I22" s="36" t="s">
        <v>20</v>
      </c>
      <c r="J22" s="23"/>
      <c r="K22" s="36" t="s">
        <v>21</v>
      </c>
      <c r="L22" s="23"/>
    </row>
    <row r="23" spans="1:12">
      <c r="A23" s="86"/>
      <c r="B23" s="87"/>
      <c r="C23" s="1" t="s">
        <v>0</v>
      </c>
      <c r="D23" s="2">
        <v>17.399999999999999</v>
      </c>
      <c r="E23" s="1" t="s">
        <v>0</v>
      </c>
      <c r="F23" s="2">
        <v>18.2</v>
      </c>
      <c r="G23" s="1" t="s">
        <v>0</v>
      </c>
      <c r="H23" s="2">
        <v>20</v>
      </c>
      <c r="I23" s="1" t="s">
        <v>0</v>
      </c>
      <c r="J23" s="2">
        <v>16.899999999999999</v>
      </c>
      <c r="K23" s="1" t="s">
        <v>0</v>
      </c>
      <c r="L23" s="2">
        <v>17.899999999999999</v>
      </c>
    </row>
    <row r="24" spans="1:12" ht="17" thickBot="1">
      <c r="A24" s="88"/>
      <c r="B24" s="89"/>
      <c r="C24" s="3" t="s">
        <v>1</v>
      </c>
      <c r="D24" s="4">
        <v>0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1</v>
      </c>
    </row>
  </sheetData>
  <mergeCells count="44">
    <mergeCell ref="C4:D4"/>
    <mergeCell ref="E4:H4"/>
    <mergeCell ref="I9:J9"/>
    <mergeCell ref="K9:L9"/>
    <mergeCell ref="A1:B4"/>
    <mergeCell ref="C1:D1"/>
    <mergeCell ref="E1:H1"/>
    <mergeCell ref="I1:L4"/>
    <mergeCell ref="C2:D2"/>
    <mergeCell ref="E2:H2"/>
    <mergeCell ref="C3:D3"/>
    <mergeCell ref="E3:H3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16:J16"/>
    <mergeCell ref="K16:L16"/>
    <mergeCell ref="C19:D19"/>
    <mergeCell ref="E19:F19"/>
    <mergeCell ref="G19:H19"/>
    <mergeCell ref="I19:J19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K19:L19"/>
    <mergeCell ref="C22:D22"/>
    <mergeCell ref="E22:F22"/>
    <mergeCell ref="G22:H22"/>
    <mergeCell ref="I22:J22"/>
    <mergeCell ref="K22:L2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A68B-F279-554A-981E-ACF47A2E9818}">
  <dimension ref="A1:AG24"/>
  <sheetViews>
    <sheetView workbookViewId="0">
      <selection activeCell="L23" sqref="L23"/>
    </sheetView>
  </sheetViews>
  <sheetFormatPr baseColWidth="10" defaultRowHeight="16"/>
  <cols>
    <col min="3" max="4" width="10.83203125" customWidth="1"/>
  </cols>
  <sheetData>
    <row r="1" spans="1:33">
      <c r="A1" s="17" t="s">
        <v>77</v>
      </c>
      <c r="B1" s="26"/>
      <c r="C1" s="36" t="s">
        <v>76</v>
      </c>
      <c r="D1" s="18"/>
      <c r="E1" s="18"/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43" t="s">
        <v>74</v>
      </c>
      <c r="F2" s="44"/>
      <c r="G2" s="44"/>
      <c r="H2" s="45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46" t="s">
        <v>72</v>
      </c>
      <c r="F3" s="44"/>
      <c r="G3" s="44"/>
      <c r="H3" s="45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49">
        <v>180</v>
      </c>
      <c r="F4" s="50"/>
      <c r="G4" s="50"/>
      <c r="H4" s="51"/>
      <c r="I4" s="29"/>
      <c r="J4" s="29"/>
      <c r="K4" s="29"/>
      <c r="L4" s="35"/>
    </row>
    <row r="5" spans="1:33" ht="17" thickBot="1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33" ht="16" customHeight="1">
      <c r="A6" s="30" t="s">
        <v>70</v>
      </c>
      <c r="B6" s="85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86"/>
      <c r="B7" s="87"/>
      <c r="C7" s="1" t="s">
        <v>0</v>
      </c>
      <c r="D7" s="2">
        <v>16.399999999999999</v>
      </c>
      <c r="E7" s="1" t="s">
        <v>0</v>
      </c>
      <c r="F7" s="2">
        <v>14.3</v>
      </c>
      <c r="G7" s="1" t="s">
        <v>0</v>
      </c>
      <c r="H7" s="2">
        <v>10.1</v>
      </c>
      <c r="I7" s="1" t="s">
        <v>0</v>
      </c>
      <c r="J7" s="2">
        <v>9.1</v>
      </c>
      <c r="K7" s="1" t="s">
        <v>0</v>
      </c>
      <c r="L7" s="2">
        <v>6.6</v>
      </c>
      <c r="N7">
        <f>D7</f>
        <v>16.399999999999999</v>
      </c>
      <c r="O7">
        <f>F7</f>
        <v>14.3</v>
      </c>
      <c r="P7">
        <f>H7</f>
        <v>10.1</v>
      </c>
      <c r="Q7">
        <f>J7</f>
        <v>9.1</v>
      </c>
      <c r="R7">
        <f>L7</f>
        <v>6.6</v>
      </c>
      <c r="S7">
        <f>D10</f>
        <v>8</v>
      </c>
      <c r="T7">
        <f>F10</f>
        <v>6.5</v>
      </c>
      <c r="U7">
        <f>H10</f>
        <v>6.1</v>
      </c>
      <c r="V7">
        <f>J10</f>
        <v>6.1</v>
      </c>
      <c r="W7">
        <f>L10</f>
        <v>6.1</v>
      </c>
    </row>
    <row r="8" spans="1:33" ht="17" thickBot="1">
      <c r="A8" s="86"/>
      <c r="B8" s="87"/>
      <c r="C8" s="3" t="s">
        <v>1</v>
      </c>
      <c r="D8" s="4">
        <v>1</v>
      </c>
      <c r="E8" s="3" t="s">
        <v>1</v>
      </c>
      <c r="F8" s="4"/>
      <c r="G8" s="3" t="s">
        <v>1</v>
      </c>
      <c r="H8" s="4"/>
      <c r="I8" s="3" t="s">
        <v>1</v>
      </c>
      <c r="J8" s="4"/>
      <c r="K8" s="3" t="s">
        <v>1</v>
      </c>
      <c r="L8" s="4"/>
      <c r="N8">
        <f>D8</f>
        <v>1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86"/>
      <c r="B9" s="87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86"/>
      <c r="B10" s="87"/>
      <c r="C10" s="1" t="s">
        <v>0</v>
      </c>
      <c r="D10" s="2">
        <v>8</v>
      </c>
      <c r="E10" s="1" t="s">
        <v>0</v>
      </c>
      <c r="F10" s="2">
        <v>6.5</v>
      </c>
      <c r="G10" s="1" t="s">
        <v>0</v>
      </c>
      <c r="H10" s="2">
        <v>6.1</v>
      </c>
      <c r="I10" s="1" t="s">
        <v>0</v>
      </c>
      <c r="J10" s="2">
        <v>6.1</v>
      </c>
      <c r="K10" s="1" t="s">
        <v>0</v>
      </c>
      <c r="L10" s="2">
        <v>6.1</v>
      </c>
    </row>
    <row r="11" spans="1:33" ht="17" thickBot="1">
      <c r="A11" s="86"/>
      <c r="B11" s="87"/>
      <c r="C11" s="14" t="s">
        <v>1</v>
      </c>
      <c r="D11" s="13"/>
      <c r="E11" s="14" t="s">
        <v>1</v>
      </c>
      <c r="F11" s="13"/>
      <c r="G11" s="14" t="s">
        <v>1</v>
      </c>
      <c r="H11" s="13"/>
      <c r="I11" s="14" t="s">
        <v>1</v>
      </c>
      <c r="J11" s="13"/>
      <c r="K11" s="14" t="s">
        <v>1</v>
      </c>
      <c r="L11" s="13"/>
    </row>
    <row r="12" spans="1:33" ht="17" thickBot="1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33" ht="17" customHeight="1">
      <c r="A13" s="30" t="s">
        <v>69</v>
      </c>
      <c r="B13" s="85"/>
      <c r="C13" s="90" t="s">
        <v>2</v>
      </c>
      <c r="D13" s="91"/>
      <c r="E13" s="90" t="s">
        <v>3</v>
      </c>
      <c r="F13" s="91"/>
      <c r="G13" s="90" t="s">
        <v>4</v>
      </c>
      <c r="H13" s="91"/>
      <c r="I13" s="90" t="s">
        <v>5</v>
      </c>
      <c r="J13" s="91"/>
      <c r="K13" s="90" t="s">
        <v>6</v>
      </c>
      <c r="L13" s="91"/>
    </row>
    <row r="14" spans="1:33">
      <c r="A14" s="86"/>
      <c r="B14" s="87"/>
      <c r="C14" s="1" t="s">
        <v>0</v>
      </c>
      <c r="D14" s="2">
        <v>23.6</v>
      </c>
      <c r="E14" s="1" t="s">
        <v>0</v>
      </c>
      <c r="F14" s="2">
        <v>22.2</v>
      </c>
      <c r="G14" s="1" t="s">
        <v>0</v>
      </c>
      <c r="H14" s="2">
        <v>18.600000000000001</v>
      </c>
      <c r="I14" s="1" t="s">
        <v>0</v>
      </c>
      <c r="J14" s="2">
        <v>22</v>
      </c>
      <c r="K14" s="1" t="s">
        <v>0</v>
      </c>
      <c r="L14" s="2">
        <v>18.5</v>
      </c>
      <c r="N14">
        <f>D14</f>
        <v>23.6</v>
      </c>
      <c r="O14">
        <f>F14</f>
        <v>22.2</v>
      </c>
      <c r="P14">
        <f>H14</f>
        <v>18.600000000000001</v>
      </c>
      <c r="Q14">
        <f>J14</f>
        <v>22</v>
      </c>
      <c r="R14">
        <f>L14</f>
        <v>18.5</v>
      </c>
      <c r="S14">
        <f>D17</f>
        <v>15.3</v>
      </c>
      <c r="T14">
        <f>F17</f>
        <v>18.7</v>
      </c>
      <c r="U14">
        <f>H17</f>
        <v>15.6</v>
      </c>
      <c r="V14">
        <f>J17</f>
        <v>16.2</v>
      </c>
      <c r="W14">
        <f>L17</f>
        <v>17.7</v>
      </c>
      <c r="X14">
        <f>D20</f>
        <v>14.1</v>
      </c>
      <c r="Y14">
        <f>F20</f>
        <v>14.1</v>
      </c>
      <c r="Z14">
        <f>H20</f>
        <v>15.7</v>
      </c>
      <c r="AA14">
        <f>J20</f>
        <v>14.1</v>
      </c>
      <c r="AB14">
        <f>L20</f>
        <v>12.4</v>
      </c>
      <c r="AC14">
        <f>D23</f>
        <v>14.2</v>
      </c>
      <c r="AD14">
        <f>F23</f>
        <v>11.9</v>
      </c>
      <c r="AE14">
        <f>H23</f>
        <v>13.3</v>
      </c>
      <c r="AF14">
        <f>J23</f>
        <v>12.5</v>
      </c>
      <c r="AG14">
        <f>L23</f>
        <v>12</v>
      </c>
    </row>
    <row r="15" spans="1:33" ht="17" thickBot="1">
      <c r="A15" s="86"/>
      <c r="B15" s="87"/>
      <c r="C15" s="3" t="s">
        <v>1</v>
      </c>
      <c r="D15" s="4">
        <v>1</v>
      </c>
      <c r="E15" s="3" t="s">
        <v>1</v>
      </c>
      <c r="F15" s="4">
        <v>0</v>
      </c>
      <c r="G15" s="3" t="s">
        <v>1</v>
      </c>
      <c r="H15" s="4">
        <v>0</v>
      </c>
      <c r="I15" s="3" t="s">
        <v>1</v>
      </c>
      <c r="J15" s="4"/>
      <c r="K15" s="3" t="s">
        <v>1</v>
      </c>
      <c r="L15" s="4">
        <v>1</v>
      </c>
      <c r="N15">
        <f>D15</f>
        <v>1</v>
      </c>
      <c r="O15">
        <f>F15</f>
        <v>0</v>
      </c>
      <c r="P15">
        <f>H15</f>
        <v>0</v>
      </c>
      <c r="Q15">
        <f>J15</f>
        <v>0</v>
      </c>
      <c r="R15">
        <f>L15</f>
        <v>1</v>
      </c>
      <c r="S15">
        <f>D18</f>
        <v>0</v>
      </c>
      <c r="T15">
        <f>F18</f>
        <v>0</v>
      </c>
      <c r="U15">
        <f>H18</f>
        <v>0</v>
      </c>
      <c r="V15">
        <f>J18</f>
        <v>0</v>
      </c>
      <c r="W15">
        <f>L18</f>
        <v>1</v>
      </c>
      <c r="X15">
        <f>D21</f>
        <v>0</v>
      </c>
      <c r="Y15">
        <f>F21</f>
        <v>0</v>
      </c>
      <c r="Z15">
        <f>H21</f>
        <v>1</v>
      </c>
      <c r="AA15">
        <f>J21</f>
        <v>1</v>
      </c>
      <c r="AB15">
        <f>L21</f>
        <v>0</v>
      </c>
      <c r="AC15">
        <f>D24</f>
        <v>0</v>
      </c>
      <c r="AD15">
        <f>F24</f>
        <v>0</v>
      </c>
      <c r="AE15">
        <f>H24</f>
        <v>1</v>
      </c>
      <c r="AF15">
        <f>J24</f>
        <v>0</v>
      </c>
      <c r="AG15">
        <f>L24</f>
        <v>0</v>
      </c>
    </row>
    <row r="16" spans="1:33">
      <c r="A16" s="86"/>
      <c r="B16" s="87"/>
      <c r="C16" s="36" t="s">
        <v>7</v>
      </c>
      <c r="D16" s="23"/>
      <c r="E16" s="36" t="s">
        <v>8</v>
      </c>
      <c r="F16" s="23"/>
      <c r="G16" s="36" t="s">
        <v>9</v>
      </c>
      <c r="H16" s="23"/>
      <c r="I16" s="36" t="s">
        <v>10</v>
      </c>
      <c r="J16" s="23"/>
      <c r="K16" s="36" t="s">
        <v>11</v>
      </c>
      <c r="L16" s="23"/>
    </row>
    <row r="17" spans="1:12">
      <c r="A17" s="86"/>
      <c r="B17" s="87"/>
      <c r="C17" s="1" t="s">
        <v>0</v>
      </c>
      <c r="D17">
        <v>15.3</v>
      </c>
      <c r="E17" s="1" t="s">
        <v>0</v>
      </c>
      <c r="F17" s="2">
        <v>18.7</v>
      </c>
      <c r="G17" s="1" t="s">
        <v>0</v>
      </c>
      <c r="H17" s="2">
        <v>15.6</v>
      </c>
      <c r="I17" s="1" t="s">
        <v>0</v>
      </c>
      <c r="J17" s="2">
        <v>16.2</v>
      </c>
      <c r="K17" s="1" t="s">
        <v>0</v>
      </c>
      <c r="L17" s="2">
        <v>17.7</v>
      </c>
    </row>
    <row r="18" spans="1:12" ht="17" thickBot="1">
      <c r="A18" s="86"/>
      <c r="B18" s="87"/>
      <c r="C18" s="3" t="s">
        <v>1</v>
      </c>
      <c r="D18" s="4"/>
      <c r="E18" s="3" t="s">
        <v>1</v>
      </c>
      <c r="F18" s="4">
        <v>0</v>
      </c>
      <c r="G18" s="3" t="s">
        <v>1</v>
      </c>
      <c r="H18" s="4">
        <v>0</v>
      </c>
      <c r="I18" s="3" t="s">
        <v>1</v>
      </c>
      <c r="J18" s="4">
        <v>0</v>
      </c>
      <c r="K18" s="3" t="s">
        <v>1</v>
      </c>
      <c r="L18" s="4">
        <v>1</v>
      </c>
    </row>
    <row r="19" spans="1:12" ht="16" customHeight="1">
      <c r="A19" s="86"/>
      <c r="B19" s="87"/>
      <c r="C19" s="36" t="s">
        <v>12</v>
      </c>
      <c r="D19" s="23"/>
      <c r="E19" s="36" t="s">
        <v>13</v>
      </c>
      <c r="F19" s="23"/>
      <c r="G19" s="36" t="s">
        <v>14</v>
      </c>
      <c r="H19" s="23"/>
      <c r="I19" s="36" t="s">
        <v>15</v>
      </c>
      <c r="J19" s="23"/>
      <c r="K19" s="36" t="s">
        <v>16</v>
      </c>
      <c r="L19" s="23"/>
    </row>
    <row r="20" spans="1:12">
      <c r="A20" s="86"/>
      <c r="B20" s="87"/>
      <c r="C20" s="1" t="s">
        <v>0</v>
      </c>
      <c r="D20" s="2">
        <v>14.1</v>
      </c>
      <c r="E20" s="1" t="s">
        <v>0</v>
      </c>
      <c r="F20" s="2">
        <v>14.1</v>
      </c>
      <c r="G20" s="1" t="s">
        <v>0</v>
      </c>
      <c r="H20" s="2">
        <v>15.7</v>
      </c>
      <c r="I20" s="1" t="s">
        <v>0</v>
      </c>
      <c r="J20" s="2">
        <v>14.1</v>
      </c>
      <c r="K20" s="1" t="s">
        <v>0</v>
      </c>
      <c r="L20" s="2">
        <v>12.4</v>
      </c>
    </row>
    <row r="21" spans="1:12" ht="17" thickBot="1">
      <c r="A21" s="86"/>
      <c r="B21" s="87"/>
      <c r="C21" s="3" t="s">
        <v>1</v>
      </c>
      <c r="D21" s="4"/>
      <c r="E21" s="3" t="s">
        <v>1</v>
      </c>
      <c r="F21" s="4"/>
      <c r="G21" s="3" t="s">
        <v>1</v>
      </c>
      <c r="H21" s="4">
        <v>1</v>
      </c>
      <c r="I21" s="3" t="s">
        <v>1</v>
      </c>
      <c r="J21" s="4">
        <v>1</v>
      </c>
      <c r="K21" s="3" t="s">
        <v>1</v>
      </c>
      <c r="L21" s="4">
        <v>0</v>
      </c>
    </row>
    <row r="22" spans="1:12">
      <c r="A22" s="86"/>
      <c r="B22" s="87"/>
      <c r="C22" s="36" t="s">
        <v>17</v>
      </c>
      <c r="D22" s="23"/>
      <c r="E22" s="36" t="s">
        <v>18</v>
      </c>
      <c r="F22" s="23"/>
      <c r="G22" s="36" t="s">
        <v>19</v>
      </c>
      <c r="H22" s="23"/>
      <c r="I22" s="36" t="s">
        <v>20</v>
      </c>
      <c r="J22" s="23"/>
      <c r="K22" s="36" t="s">
        <v>21</v>
      </c>
      <c r="L22" s="23"/>
    </row>
    <row r="23" spans="1:12">
      <c r="A23" s="86"/>
      <c r="B23" s="87"/>
      <c r="C23" s="1" t="s">
        <v>0</v>
      </c>
      <c r="D23" s="2">
        <v>14.2</v>
      </c>
      <c r="E23" s="1" t="s">
        <v>0</v>
      </c>
      <c r="F23" s="2">
        <v>11.9</v>
      </c>
      <c r="G23" s="1" t="s">
        <v>0</v>
      </c>
      <c r="H23" s="2">
        <v>13.3</v>
      </c>
      <c r="I23" s="1" t="s">
        <v>0</v>
      </c>
      <c r="J23" s="2">
        <v>12.5</v>
      </c>
      <c r="K23" s="1" t="s">
        <v>0</v>
      </c>
      <c r="L23" s="2">
        <v>12</v>
      </c>
    </row>
    <row r="24" spans="1:12" ht="17" thickBot="1">
      <c r="A24" s="88"/>
      <c r="B24" s="89"/>
      <c r="C24" s="3" t="s">
        <v>1</v>
      </c>
      <c r="D24" s="4">
        <v>0</v>
      </c>
      <c r="E24" s="3" t="s">
        <v>1</v>
      </c>
      <c r="F24" s="4">
        <v>0</v>
      </c>
      <c r="G24" s="3" t="s">
        <v>1</v>
      </c>
      <c r="H24" s="4">
        <v>1</v>
      </c>
      <c r="I24" s="3" t="s">
        <v>1</v>
      </c>
      <c r="J24" s="4"/>
      <c r="K24" s="3" t="s">
        <v>1</v>
      </c>
      <c r="L24" s="4"/>
    </row>
  </sheetData>
  <mergeCells count="44"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1E1A-D7D4-4849-8F80-51747F83C9B5}">
  <dimension ref="A1:AG24"/>
  <sheetViews>
    <sheetView zoomScale="88" workbookViewId="0">
      <selection activeCell="N15" sqref="N15:AG15"/>
    </sheetView>
  </sheetViews>
  <sheetFormatPr baseColWidth="10" defaultRowHeight="16"/>
  <cols>
    <col min="3" max="4" width="10.83203125" customWidth="1"/>
  </cols>
  <sheetData>
    <row r="1" spans="1:33">
      <c r="A1" s="17" t="s">
        <v>77</v>
      </c>
      <c r="B1" s="26"/>
      <c r="C1" s="36" t="s">
        <v>76</v>
      </c>
      <c r="D1" s="18"/>
      <c r="E1" s="18"/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43" t="s">
        <v>74</v>
      </c>
      <c r="F2" s="44"/>
      <c r="G2" s="44"/>
      <c r="H2" s="45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46" t="s">
        <v>72</v>
      </c>
      <c r="F3" s="44"/>
      <c r="G3" s="44"/>
      <c r="H3" s="45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49">
        <v>190</v>
      </c>
      <c r="F4" s="50"/>
      <c r="G4" s="50"/>
      <c r="H4" s="51"/>
      <c r="I4" s="29"/>
      <c r="J4" s="29"/>
      <c r="K4" s="29"/>
      <c r="L4" s="35"/>
    </row>
    <row r="5" spans="1:33" ht="17" thickBot="1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33" ht="16" customHeight="1">
      <c r="A6" s="30" t="s">
        <v>70</v>
      </c>
      <c r="B6" s="85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86"/>
      <c r="B7" s="87"/>
      <c r="C7" s="1" t="s">
        <v>0</v>
      </c>
      <c r="D7" s="2">
        <v>9.5</v>
      </c>
      <c r="E7" s="1" t="s">
        <v>0</v>
      </c>
      <c r="F7" s="2">
        <v>11</v>
      </c>
      <c r="G7" s="1" t="s">
        <v>0</v>
      </c>
      <c r="H7" s="2">
        <v>7.7</v>
      </c>
      <c r="I7" s="1" t="s">
        <v>0</v>
      </c>
      <c r="J7" s="2">
        <v>9.6999999999999993</v>
      </c>
      <c r="K7" s="1" t="s">
        <v>0</v>
      </c>
      <c r="L7" s="2">
        <v>7.8</v>
      </c>
      <c r="N7">
        <f>D7</f>
        <v>9.5</v>
      </c>
      <c r="O7">
        <f>F7</f>
        <v>11</v>
      </c>
      <c r="P7">
        <f>H7</f>
        <v>7.7</v>
      </c>
      <c r="Q7">
        <f>J7</f>
        <v>9.6999999999999993</v>
      </c>
      <c r="R7">
        <f>L7</f>
        <v>7.8</v>
      </c>
      <c r="S7">
        <f>D10</f>
        <v>9.8000000000000007</v>
      </c>
      <c r="T7">
        <f>F10</f>
        <v>8.3000000000000007</v>
      </c>
      <c r="U7">
        <f>H10</f>
        <v>7.3</v>
      </c>
      <c r="V7">
        <f>J10</f>
        <v>8.1999999999999993</v>
      </c>
      <c r="W7">
        <f>L10</f>
        <v>8</v>
      </c>
    </row>
    <row r="8" spans="1:33" ht="17" thickBot="1">
      <c r="A8" s="86"/>
      <c r="B8" s="87"/>
      <c r="C8" s="3" t="s">
        <v>1</v>
      </c>
      <c r="D8" s="4"/>
      <c r="E8" s="3" t="s">
        <v>1</v>
      </c>
      <c r="F8" s="4"/>
      <c r="G8" s="3" t="s">
        <v>1</v>
      </c>
      <c r="H8" s="4">
        <v>1</v>
      </c>
      <c r="I8" s="3" t="s">
        <v>1</v>
      </c>
      <c r="J8" s="4">
        <v>0</v>
      </c>
      <c r="K8" s="3" t="s">
        <v>1</v>
      </c>
      <c r="L8" s="4">
        <v>0</v>
      </c>
      <c r="N8">
        <f>D8</f>
        <v>0</v>
      </c>
      <c r="O8">
        <f>F8</f>
        <v>0</v>
      </c>
      <c r="P8">
        <f>H8</f>
        <v>1</v>
      </c>
      <c r="Q8">
        <f>J8</f>
        <v>0</v>
      </c>
      <c r="R8">
        <f>L8</f>
        <v>0</v>
      </c>
      <c r="S8">
        <f>D11</f>
        <v>1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86"/>
      <c r="B9" s="87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86"/>
      <c r="B10" s="87"/>
      <c r="C10" s="1" t="s">
        <v>0</v>
      </c>
      <c r="D10" s="2">
        <v>9.8000000000000007</v>
      </c>
      <c r="E10" s="1" t="s">
        <v>0</v>
      </c>
      <c r="F10" s="2">
        <v>8.3000000000000007</v>
      </c>
      <c r="G10" s="1" t="s">
        <v>0</v>
      </c>
      <c r="H10" s="2">
        <v>7.3</v>
      </c>
      <c r="I10" s="1" t="s">
        <v>0</v>
      </c>
      <c r="J10" s="2">
        <v>8.1999999999999993</v>
      </c>
      <c r="K10" s="1" t="s">
        <v>0</v>
      </c>
      <c r="L10" s="2">
        <v>8</v>
      </c>
    </row>
    <row r="11" spans="1:33" ht="17" thickBot="1">
      <c r="A11" s="86"/>
      <c r="B11" s="87"/>
      <c r="C11" s="14" t="s">
        <v>1</v>
      </c>
      <c r="D11" s="13">
        <v>1</v>
      </c>
      <c r="E11" s="14" t="s">
        <v>1</v>
      </c>
      <c r="F11" s="13">
        <v>0</v>
      </c>
      <c r="G11" s="14" t="s">
        <v>1</v>
      </c>
      <c r="H11" s="13">
        <v>0</v>
      </c>
      <c r="I11" s="14" t="s">
        <v>1</v>
      </c>
      <c r="J11" s="13"/>
      <c r="K11" s="14" t="s">
        <v>1</v>
      </c>
      <c r="L11" s="13"/>
    </row>
    <row r="12" spans="1:33" ht="17" thickBot="1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33" ht="17" customHeight="1">
      <c r="A13" s="30" t="s">
        <v>69</v>
      </c>
      <c r="B13" s="85"/>
      <c r="C13" s="90" t="s">
        <v>2</v>
      </c>
      <c r="D13" s="91"/>
      <c r="E13" s="90" t="s">
        <v>3</v>
      </c>
      <c r="F13" s="91"/>
      <c r="G13" s="90" t="s">
        <v>4</v>
      </c>
      <c r="H13" s="91"/>
      <c r="I13" s="90" t="s">
        <v>5</v>
      </c>
      <c r="J13" s="91"/>
      <c r="K13" s="90" t="s">
        <v>6</v>
      </c>
      <c r="L13" s="91"/>
    </row>
    <row r="14" spans="1:33">
      <c r="A14" s="86"/>
      <c r="B14" s="87"/>
      <c r="C14" s="1" t="s">
        <v>0</v>
      </c>
      <c r="D14" s="2">
        <v>20.100000000000001</v>
      </c>
      <c r="E14" s="1" t="s">
        <v>0</v>
      </c>
      <c r="F14" s="2">
        <v>20.399999999999999</v>
      </c>
      <c r="G14" s="1" t="s">
        <v>0</v>
      </c>
      <c r="H14" s="2">
        <v>19.100000000000001</v>
      </c>
      <c r="I14" s="1" t="s">
        <v>0</v>
      </c>
      <c r="J14" s="2">
        <v>17.3</v>
      </c>
      <c r="K14" s="1" t="s">
        <v>0</v>
      </c>
      <c r="L14" s="2">
        <v>22</v>
      </c>
      <c r="N14">
        <f>D14</f>
        <v>20.100000000000001</v>
      </c>
      <c r="O14">
        <f>F14</f>
        <v>20.399999999999999</v>
      </c>
      <c r="P14">
        <f>H14</f>
        <v>19.100000000000001</v>
      </c>
      <c r="Q14">
        <f>J14</f>
        <v>17.3</v>
      </c>
      <c r="R14">
        <f>L14</f>
        <v>22</v>
      </c>
      <c r="S14">
        <f>D17</f>
        <v>21</v>
      </c>
      <c r="T14">
        <f>F17</f>
        <v>19</v>
      </c>
      <c r="U14">
        <f>H17</f>
        <v>17.399999999999999</v>
      </c>
      <c r="V14">
        <f>J17</f>
        <v>22.8</v>
      </c>
      <c r="W14">
        <f>L17</f>
        <v>15.8</v>
      </c>
      <c r="X14">
        <f>D20</f>
        <v>16.7</v>
      </c>
      <c r="Y14">
        <f>F20</f>
        <v>20.5</v>
      </c>
      <c r="Z14">
        <f>H20</f>
        <v>18.399999999999999</v>
      </c>
      <c r="AA14">
        <f>J20</f>
        <v>16.7</v>
      </c>
      <c r="AB14">
        <f>L20</f>
        <v>17.5</v>
      </c>
      <c r="AC14">
        <f>D23</f>
        <v>16.7</v>
      </c>
      <c r="AD14">
        <f>F23</f>
        <v>15.5</v>
      </c>
      <c r="AE14">
        <f>H23</f>
        <v>19</v>
      </c>
      <c r="AF14">
        <f>J23</f>
        <v>16.2</v>
      </c>
      <c r="AG14">
        <f>L23</f>
        <v>17.100000000000001</v>
      </c>
    </row>
    <row r="15" spans="1:33" ht="17" thickBot="1">
      <c r="A15" s="86"/>
      <c r="B15" s="87"/>
      <c r="C15" s="3" t="s">
        <v>1</v>
      </c>
      <c r="D15" s="4">
        <v>1</v>
      </c>
      <c r="E15" s="3" t="s">
        <v>1</v>
      </c>
      <c r="F15" s="4">
        <v>2</v>
      </c>
      <c r="G15" s="3" t="s">
        <v>1</v>
      </c>
      <c r="H15" s="4">
        <v>1</v>
      </c>
      <c r="I15" s="3" t="s">
        <v>1</v>
      </c>
      <c r="J15" s="4">
        <v>1</v>
      </c>
      <c r="K15" s="3" t="s">
        <v>1</v>
      </c>
      <c r="L15" s="4">
        <v>1</v>
      </c>
      <c r="N15">
        <f>D15</f>
        <v>1</v>
      </c>
      <c r="O15">
        <f>F15</f>
        <v>2</v>
      </c>
      <c r="P15">
        <f>H15</f>
        <v>1</v>
      </c>
      <c r="Q15">
        <f>J15</f>
        <v>1</v>
      </c>
      <c r="R15">
        <f>L15</f>
        <v>1</v>
      </c>
      <c r="S15">
        <f>D18</f>
        <v>0</v>
      </c>
      <c r="T15">
        <f>F18</f>
        <v>0</v>
      </c>
      <c r="U15">
        <f>H18</f>
        <v>1</v>
      </c>
      <c r="V15">
        <f>J18</f>
        <v>0</v>
      </c>
      <c r="W15">
        <f>L18</f>
        <v>0</v>
      </c>
      <c r="X15">
        <f>D21</f>
        <v>0</v>
      </c>
      <c r="Y15">
        <f>F21</f>
        <v>0</v>
      </c>
      <c r="Z15">
        <f>H21</f>
        <v>0</v>
      </c>
      <c r="AA15">
        <f>J21</f>
        <v>0</v>
      </c>
      <c r="AB15">
        <f>L21</f>
        <v>0</v>
      </c>
      <c r="AC15">
        <f>D24</f>
        <v>0</v>
      </c>
      <c r="AD15">
        <f>F24</f>
        <v>0</v>
      </c>
      <c r="AE15">
        <f>H24</f>
        <v>0</v>
      </c>
      <c r="AF15">
        <f>J24</f>
        <v>0</v>
      </c>
      <c r="AG15">
        <f>L24</f>
        <v>0</v>
      </c>
    </row>
    <row r="16" spans="1:33">
      <c r="A16" s="86"/>
      <c r="B16" s="87"/>
      <c r="C16" s="36" t="s">
        <v>7</v>
      </c>
      <c r="D16" s="23"/>
      <c r="E16" s="36" t="s">
        <v>8</v>
      </c>
      <c r="F16" s="23"/>
      <c r="G16" s="36" t="s">
        <v>9</v>
      </c>
      <c r="H16" s="23"/>
      <c r="I16" s="36" t="s">
        <v>10</v>
      </c>
      <c r="J16" s="23"/>
      <c r="K16" s="36" t="s">
        <v>11</v>
      </c>
      <c r="L16" s="23"/>
    </row>
    <row r="17" spans="1:12">
      <c r="A17" s="86"/>
      <c r="B17" s="87"/>
      <c r="C17" s="1" t="s">
        <v>0</v>
      </c>
      <c r="D17">
        <v>21</v>
      </c>
      <c r="E17" s="1" t="s">
        <v>0</v>
      </c>
      <c r="F17" s="2">
        <v>19</v>
      </c>
      <c r="G17" s="1" t="s">
        <v>0</v>
      </c>
      <c r="H17" s="2">
        <v>17.399999999999999</v>
      </c>
      <c r="I17" s="1" t="s">
        <v>0</v>
      </c>
      <c r="J17" s="2">
        <v>22.8</v>
      </c>
      <c r="K17" s="1" t="s">
        <v>0</v>
      </c>
      <c r="L17" s="2">
        <v>15.8</v>
      </c>
    </row>
    <row r="18" spans="1:12" ht="17" thickBot="1">
      <c r="A18" s="86"/>
      <c r="B18" s="87"/>
      <c r="C18" s="3" t="s">
        <v>1</v>
      </c>
      <c r="D18" s="4">
        <v>0</v>
      </c>
      <c r="E18" s="3" t="s">
        <v>1</v>
      </c>
      <c r="F18" s="4">
        <v>0</v>
      </c>
      <c r="G18" s="3" t="s">
        <v>1</v>
      </c>
      <c r="H18" s="4">
        <v>1</v>
      </c>
      <c r="I18" s="3" t="s">
        <v>1</v>
      </c>
      <c r="J18" s="4">
        <v>0</v>
      </c>
      <c r="K18" s="3" t="s">
        <v>1</v>
      </c>
      <c r="L18" s="4">
        <v>0</v>
      </c>
    </row>
    <row r="19" spans="1:12" ht="16" customHeight="1">
      <c r="A19" s="86"/>
      <c r="B19" s="87"/>
      <c r="C19" s="36" t="s">
        <v>12</v>
      </c>
      <c r="D19" s="23"/>
      <c r="E19" s="36" t="s">
        <v>13</v>
      </c>
      <c r="F19" s="23"/>
      <c r="G19" s="36" t="s">
        <v>14</v>
      </c>
      <c r="H19" s="23"/>
      <c r="I19" s="36" t="s">
        <v>15</v>
      </c>
      <c r="J19" s="23"/>
      <c r="K19" s="36" t="s">
        <v>16</v>
      </c>
      <c r="L19" s="23"/>
    </row>
    <row r="20" spans="1:12">
      <c r="A20" s="86"/>
      <c r="B20" s="87"/>
      <c r="C20" s="1" t="s">
        <v>0</v>
      </c>
      <c r="D20" s="2">
        <v>16.7</v>
      </c>
      <c r="E20" s="1" t="s">
        <v>0</v>
      </c>
      <c r="F20" s="2">
        <v>20.5</v>
      </c>
      <c r="G20" s="1" t="s">
        <v>0</v>
      </c>
      <c r="H20" s="2">
        <v>18.399999999999999</v>
      </c>
      <c r="I20" s="1" t="s">
        <v>0</v>
      </c>
      <c r="J20" s="2">
        <v>16.7</v>
      </c>
      <c r="K20" s="1" t="s">
        <v>0</v>
      </c>
      <c r="L20" s="2">
        <v>17.5</v>
      </c>
    </row>
    <row r="21" spans="1:12" ht="17" thickBot="1">
      <c r="A21" s="86"/>
      <c r="B21" s="87"/>
      <c r="C21" s="3" t="s">
        <v>1</v>
      </c>
      <c r="D21" s="4">
        <v>0</v>
      </c>
      <c r="E21" s="3" t="s">
        <v>1</v>
      </c>
      <c r="F21" s="4">
        <v>0</v>
      </c>
      <c r="G21" s="3" t="s">
        <v>1</v>
      </c>
      <c r="H21" s="4">
        <v>0</v>
      </c>
      <c r="I21" s="3" t="s">
        <v>1</v>
      </c>
      <c r="J21" s="4">
        <v>0</v>
      </c>
      <c r="K21" s="3" t="s">
        <v>1</v>
      </c>
      <c r="L21" s="4">
        <v>0</v>
      </c>
    </row>
    <row r="22" spans="1:12">
      <c r="A22" s="86"/>
      <c r="B22" s="87"/>
      <c r="C22" s="36" t="s">
        <v>17</v>
      </c>
      <c r="D22" s="23"/>
      <c r="E22" s="36" t="s">
        <v>18</v>
      </c>
      <c r="F22" s="23"/>
      <c r="G22" s="36" t="s">
        <v>19</v>
      </c>
      <c r="H22" s="23"/>
      <c r="I22" s="36" t="s">
        <v>20</v>
      </c>
      <c r="J22" s="23"/>
      <c r="K22" s="36" t="s">
        <v>21</v>
      </c>
      <c r="L22" s="23"/>
    </row>
    <row r="23" spans="1:12">
      <c r="A23" s="86"/>
      <c r="B23" s="87"/>
      <c r="C23" s="1" t="s">
        <v>0</v>
      </c>
      <c r="D23" s="2">
        <v>16.7</v>
      </c>
      <c r="E23" s="1" t="s">
        <v>0</v>
      </c>
      <c r="F23" s="2">
        <v>15.5</v>
      </c>
      <c r="G23" s="1" t="s">
        <v>0</v>
      </c>
      <c r="H23" s="2">
        <v>19</v>
      </c>
      <c r="I23" s="1" t="s">
        <v>0</v>
      </c>
      <c r="J23" s="2">
        <v>16.2</v>
      </c>
      <c r="K23" s="1" t="s">
        <v>0</v>
      </c>
      <c r="L23" s="2">
        <v>17.100000000000001</v>
      </c>
    </row>
    <row r="24" spans="1:12" ht="17" thickBot="1">
      <c r="A24" s="88"/>
      <c r="B24" s="89"/>
      <c r="C24" s="3" t="s">
        <v>1</v>
      </c>
      <c r="D24" s="4">
        <v>0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0</v>
      </c>
    </row>
  </sheetData>
  <mergeCells count="44"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F4EE-2661-B243-8EA8-6D6F32BB755E}">
  <dimension ref="A1:AG30"/>
  <sheetViews>
    <sheetView topLeftCell="C1" workbookViewId="0">
      <selection activeCell="N21" sqref="N21:AG21"/>
    </sheetView>
  </sheetViews>
  <sheetFormatPr baseColWidth="10" defaultRowHeight="16"/>
  <sheetData>
    <row r="1" spans="1:33" ht="16" customHeight="1">
      <c r="A1" s="76" t="s">
        <v>67</v>
      </c>
      <c r="B1" s="92"/>
      <c r="C1" s="52" t="s">
        <v>66</v>
      </c>
      <c r="D1" s="95"/>
      <c r="E1" s="96"/>
      <c r="F1" s="55"/>
      <c r="G1" s="55"/>
      <c r="H1" s="56"/>
      <c r="I1" s="57"/>
      <c r="J1" s="58"/>
      <c r="K1" s="58"/>
      <c r="L1" s="59"/>
    </row>
    <row r="2" spans="1:33">
      <c r="A2" s="78"/>
      <c r="B2" s="93"/>
      <c r="C2" s="97" t="s">
        <v>64</v>
      </c>
      <c r="D2" s="67"/>
      <c r="E2" s="68" t="s">
        <v>102</v>
      </c>
      <c r="F2" s="69"/>
      <c r="G2" s="69"/>
      <c r="H2" s="70"/>
      <c r="I2" s="60"/>
      <c r="J2" s="61"/>
      <c r="K2" s="61"/>
      <c r="L2" s="62"/>
    </row>
    <row r="3" spans="1:33">
      <c r="A3" s="78"/>
      <c r="B3" s="93"/>
      <c r="C3" s="97" t="s">
        <v>63</v>
      </c>
      <c r="D3" s="67"/>
      <c r="E3" s="68" t="s">
        <v>103</v>
      </c>
      <c r="F3" s="69"/>
      <c r="G3" s="69"/>
      <c r="H3" s="70"/>
      <c r="I3" s="60"/>
      <c r="J3" s="61"/>
      <c r="K3" s="61"/>
      <c r="L3" s="62"/>
    </row>
    <row r="4" spans="1:33" ht="17" thickBot="1">
      <c r="A4" s="80"/>
      <c r="B4" s="94"/>
      <c r="C4" s="98" t="s">
        <v>61</v>
      </c>
      <c r="D4" s="72"/>
      <c r="E4" s="73">
        <v>160</v>
      </c>
      <c r="F4" s="74"/>
      <c r="G4" s="74"/>
      <c r="H4" s="75"/>
      <c r="I4" s="63"/>
      <c r="J4" s="64"/>
      <c r="K4" s="64"/>
      <c r="L4" s="65"/>
    </row>
    <row r="5" spans="1:33" ht="17" thickBo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33" ht="16" customHeight="1">
      <c r="A6" s="30" t="s">
        <v>28</v>
      </c>
      <c r="B6" s="31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32"/>
      <c r="B7" s="33"/>
      <c r="C7" s="1" t="s">
        <v>0</v>
      </c>
      <c r="D7" s="2">
        <v>12.1</v>
      </c>
      <c r="E7" s="1" t="s">
        <v>0</v>
      </c>
      <c r="F7" s="2">
        <v>10.6</v>
      </c>
      <c r="G7" s="1" t="s">
        <v>0</v>
      </c>
      <c r="H7" s="2">
        <v>13.6</v>
      </c>
      <c r="I7" s="1" t="s">
        <v>0</v>
      </c>
      <c r="J7" s="2">
        <v>9.1999999999999993</v>
      </c>
      <c r="K7" s="1" t="s">
        <v>0</v>
      </c>
      <c r="L7" s="2">
        <v>8.3000000000000007</v>
      </c>
      <c r="N7">
        <f>D7</f>
        <v>12.1</v>
      </c>
      <c r="O7">
        <f>F7</f>
        <v>10.6</v>
      </c>
      <c r="P7">
        <f>H7</f>
        <v>13.6</v>
      </c>
      <c r="Q7">
        <f>J7</f>
        <v>9.1999999999999993</v>
      </c>
      <c r="R7">
        <f>L7</f>
        <v>8.3000000000000007</v>
      </c>
      <c r="S7">
        <f>D10</f>
        <v>8.5</v>
      </c>
      <c r="T7">
        <f>F10</f>
        <v>12.3</v>
      </c>
      <c r="U7">
        <f>H10</f>
        <v>7</v>
      </c>
      <c r="V7">
        <f>J10</f>
        <v>6.4</v>
      </c>
      <c r="W7">
        <f>L10</f>
        <v>5.4</v>
      </c>
      <c r="X7">
        <f>D13</f>
        <v>6.2</v>
      </c>
      <c r="Y7">
        <f>F13</f>
        <v>7</v>
      </c>
      <c r="Z7">
        <f>H13</f>
        <v>6.4</v>
      </c>
      <c r="AA7">
        <f>J13</f>
        <v>5.8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32"/>
      <c r="B8" s="33"/>
      <c r="C8" s="3" t="s">
        <v>1</v>
      </c>
      <c r="D8" s="4">
        <v>0</v>
      </c>
      <c r="E8" s="3" t="s">
        <v>1</v>
      </c>
      <c r="F8" s="4">
        <v>1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1</v>
      </c>
      <c r="N8">
        <f>D8</f>
        <v>0</v>
      </c>
      <c r="O8">
        <f>F8</f>
        <v>1</v>
      </c>
      <c r="P8">
        <f>H8</f>
        <v>0</v>
      </c>
      <c r="Q8">
        <f>J8</f>
        <v>0</v>
      </c>
      <c r="R8">
        <f>L8</f>
        <v>1</v>
      </c>
      <c r="S8">
        <f>D11</f>
        <v>0</v>
      </c>
      <c r="T8">
        <f>F11</f>
        <v>0</v>
      </c>
      <c r="U8">
        <f>H11</f>
        <v>1</v>
      </c>
      <c r="V8">
        <f>J11</f>
        <v>0</v>
      </c>
      <c r="W8">
        <f>L11</f>
        <v>0</v>
      </c>
    </row>
    <row r="9" spans="1:33">
      <c r="A9" s="32"/>
      <c r="B9" s="33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32"/>
      <c r="B10" s="33"/>
      <c r="C10" s="1" t="s">
        <v>0</v>
      </c>
      <c r="D10" s="2">
        <v>8.5</v>
      </c>
      <c r="E10" s="1" t="s">
        <v>0</v>
      </c>
      <c r="F10" s="2">
        <v>12.3</v>
      </c>
      <c r="G10" s="1" t="s">
        <v>0</v>
      </c>
      <c r="H10" s="2">
        <v>7</v>
      </c>
      <c r="I10" s="1" t="s">
        <v>0</v>
      </c>
      <c r="J10" s="2">
        <v>6.4</v>
      </c>
      <c r="K10" s="1" t="s">
        <v>0</v>
      </c>
      <c r="L10" s="2">
        <v>5.4</v>
      </c>
    </row>
    <row r="11" spans="1:33" ht="17" thickBot="1">
      <c r="A11" s="32"/>
      <c r="B11" s="33"/>
      <c r="C11" s="3" t="s">
        <v>1</v>
      </c>
      <c r="D11" s="4">
        <v>0</v>
      </c>
      <c r="E11" s="3" t="s">
        <v>1</v>
      </c>
      <c r="F11" s="4">
        <v>0</v>
      </c>
      <c r="G11" s="3" t="s">
        <v>1</v>
      </c>
      <c r="H11" s="4">
        <v>1</v>
      </c>
      <c r="I11" s="3" t="s">
        <v>1</v>
      </c>
      <c r="J11" s="4">
        <v>0</v>
      </c>
      <c r="K11" s="3" t="s">
        <v>1</v>
      </c>
      <c r="L11" s="4">
        <v>0</v>
      </c>
    </row>
    <row r="12" spans="1:33">
      <c r="A12" s="32"/>
      <c r="B12" s="33"/>
      <c r="C12" s="36" t="s">
        <v>12</v>
      </c>
      <c r="D12" s="23"/>
      <c r="E12" s="36" t="s">
        <v>13</v>
      </c>
      <c r="F12" s="23"/>
      <c r="G12" s="36" t="s">
        <v>14</v>
      </c>
      <c r="H12" s="23"/>
      <c r="I12" s="36" t="s">
        <v>15</v>
      </c>
      <c r="J12" s="23"/>
      <c r="K12" s="36" t="s">
        <v>16</v>
      </c>
      <c r="L12" s="23"/>
    </row>
    <row r="13" spans="1:33">
      <c r="A13" s="32"/>
      <c r="B13" s="33"/>
      <c r="C13" s="1" t="s">
        <v>0</v>
      </c>
      <c r="D13" s="2">
        <v>6.2</v>
      </c>
      <c r="E13" s="1" t="s">
        <v>0</v>
      </c>
      <c r="F13" s="2">
        <v>7</v>
      </c>
      <c r="G13" s="1" t="s">
        <v>0</v>
      </c>
      <c r="H13" s="2">
        <v>6.4</v>
      </c>
      <c r="I13" s="1" t="s">
        <v>0</v>
      </c>
      <c r="J13" s="2">
        <v>5.8</v>
      </c>
      <c r="K13" s="1" t="s">
        <v>0</v>
      </c>
      <c r="L13" s="2"/>
    </row>
    <row r="14" spans="1:33" ht="17" thickBot="1">
      <c r="A14" s="32"/>
      <c r="B14" s="33"/>
      <c r="C14" s="3" t="s">
        <v>1</v>
      </c>
      <c r="D14" s="4">
        <v>0</v>
      </c>
      <c r="E14" s="3" t="s">
        <v>1</v>
      </c>
      <c r="F14" s="4">
        <v>0</v>
      </c>
      <c r="G14" s="3" t="s">
        <v>1</v>
      </c>
      <c r="H14" s="4">
        <v>0</v>
      </c>
      <c r="I14" s="3" t="s">
        <v>1</v>
      </c>
      <c r="J14" s="4">
        <v>0</v>
      </c>
      <c r="K14" s="3" t="s">
        <v>1</v>
      </c>
      <c r="L14" s="4"/>
    </row>
    <row r="15" spans="1:33">
      <c r="A15" s="32"/>
      <c r="B15" s="33"/>
      <c r="C15" s="36" t="s">
        <v>17</v>
      </c>
      <c r="D15" s="23"/>
      <c r="E15" s="36" t="s">
        <v>18</v>
      </c>
      <c r="F15" s="23"/>
      <c r="G15" s="36" t="s">
        <v>19</v>
      </c>
      <c r="H15" s="23"/>
      <c r="I15" s="36" t="s">
        <v>20</v>
      </c>
      <c r="J15" s="23"/>
      <c r="K15" s="36" t="s">
        <v>21</v>
      </c>
      <c r="L15" s="23"/>
    </row>
    <row r="16" spans="1:33">
      <c r="A16" s="32"/>
      <c r="B16" s="33"/>
      <c r="C16" s="1" t="s">
        <v>0</v>
      </c>
      <c r="D16" s="2"/>
      <c r="E16" s="1" t="s">
        <v>0</v>
      </c>
      <c r="F16" s="2"/>
      <c r="G16" s="1" t="s">
        <v>0</v>
      </c>
      <c r="H16" s="2"/>
      <c r="I16" s="1" t="s">
        <v>0</v>
      </c>
      <c r="J16" s="2"/>
      <c r="K16" s="1" t="s">
        <v>0</v>
      </c>
      <c r="L16" s="2"/>
    </row>
    <row r="17" spans="1:33" ht="17" thickBot="1">
      <c r="A17" s="34"/>
      <c r="B17" s="35"/>
      <c r="C17" s="3" t="s">
        <v>1</v>
      </c>
      <c r="D17" s="4"/>
      <c r="E17" s="3" t="s">
        <v>1</v>
      </c>
      <c r="F17" s="4"/>
      <c r="G17" s="3" t="s">
        <v>1</v>
      </c>
      <c r="H17" s="4"/>
      <c r="I17" s="3" t="s">
        <v>1</v>
      </c>
      <c r="J17" s="4"/>
      <c r="K17" s="3" t="s">
        <v>1</v>
      </c>
      <c r="L17" s="4"/>
    </row>
    <row r="18" spans="1:33" ht="17" thickBot="1">
      <c r="A18" s="3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3"/>
    </row>
    <row r="19" spans="1:33">
      <c r="A19" s="30" t="s">
        <v>22</v>
      </c>
      <c r="B19" s="31"/>
      <c r="C19" s="36" t="s">
        <v>2</v>
      </c>
      <c r="D19" s="23"/>
      <c r="E19" s="36" t="s">
        <v>3</v>
      </c>
      <c r="F19" s="23"/>
      <c r="G19" s="36" t="s">
        <v>4</v>
      </c>
      <c r="H19" s="23"/>
      <c r="I19" s="36" t="s">
        <v>5</v>
      </c>
      <c r="J19" s="23"/>
      <c r="K19" s="36" t="s">
        <v>6</v>
      </c>
      <c r="L19" s="23"/>
    </row>
    <row r="20" spans="1:33">
      <c r="A20" s="32"/>
      <c r="B20" s="33"/>
      <c r="C20" s="1" t="s">
        <v>0</v>
      </c>
      <c r="D20" s="2">
        <v>18.100000000000001</v>
      </c>
      <c r="E20" s="1" t="s">
        <v>0</v>
      </c>
      <c r="F20" s="2">
        <v>17.2</v>
      </c>
      <c r="G20" s="1" t="s">
        <v>0</v>
      </c>
      <c r="H20" s="2">
        <v>13</v>
      </c>
      <c r="I20" s="1" t="s">
        <v>0</v>
      </c>
      <c r="J20" s="2">
        <v>13</v>
      </c>
      <c r="K20" s="1" t="s">
        <v>0</v>
      </c>
      <c r="L20" s="2">
        <v>13.2</v>
      </c>
      <c r="N20">
        <f>D20</f>
        <v>18.100000000000001</v>
      </c>
      <c r="O20">
        <f>F20</f>
        <v>17.2</v>
      </c>
      <c r="P20">
        <f>H20</f>
        <v>13</v>
      </c>
      <c r="Q20">
        <f>J20</f>
        <v>13</v>
      </c>
      <c r="R20">
        <f>L20</f>
        <v>13.2</v>
      </c>
      <c r="S20">
        <f>D23</f>
        <v>16.100000000000001</v>
      </c>
      <c r="T20">
        <f>F23</f>
        <v>11.9</v>
      </c>
      <c r="U20">
        <f>H23</f>
        <v>12.2</v>
      </c>
      <c r="V20">
        <f>J23</f>
        <v>11.6</v>
      </c>
      <c r="W20">
        <f>L23</f>
        <v>10.8</v>
      </c>
      <c r="X20">
        <f>D26</f>
        <v>10.7</v>
      </c>
      <c r="Y20">
        <f>F26</f>
        <v>12.3</v>
      </c>
      <c r="Z20">
        <f>H26</f>
        <v>10.1</v>
      </c>
      <c r="AA20">
        <f>J26</f>
        <v>11.9</v>
      </c>
      <c r="AB20">
        <f>L26</f>
        <v>11.2</v>
      </c>
      <c r="AC20">
        <f>D29</f>
        <v>15.1</v>
      </c>
      <c r="AD20">
        <f>F29</f>
        <v>10.6</v>
      </c>
      <c r="AE20">
        <f>H29</f>
        <v>11</v>
      </c>
      <c r="AF20">
        <f>J29</f>
        <v>10.7</v>
      </c>
      <c r="AG20">
        <f>L29</f>
        <v>11.4</v>
      </c>
    </row>
    <row r="21" spans="1:33" ht="17" thickBot="1">
      <c r="A21" s="32"/>
      <c r="B21" s="33"/>
      <c r="C21" s="3" t="s">
        <v>1</v>
      </c>
      <c r="D21" s="4">
        <v>1</v>
      </c>
      <c r="E21" s="3" t="s">
        <v>1</v>
      </c>
      <c r="F21" s="4">
        <v>1</v>
      </c>
      <c r="G21" s="3" t="s">
        <v>1</v>
      </c>
      <c r="H21" s="4">
        <v>1</v>
      </c>
      <c r="I21" s="3" t="s">
        <v>1</v>
      </c>
      <c r="J21" s="4">
        <v>0</v>
      </c>
      <c r="K21" s="3" t="s">
        <v>1</v>
      </c>
      <c r="L21" s="4">
        <v>0</v>
      </c>
      <c r="N21">
        <f>D21</f>
        <v>1</v>
      </c>
      <c r="O21">
        <f>F21</f>
        <v>1</v>
      </c>
      <c r="P21">
        <f>H21</f>
        <v>1</v>
      </c>
      <c r="Q21">
        <f>J21</f>
        <v>0</v>
      </c>
      <c r="R21">
        <f>L21</f>
        <v>0</v>
      </c>
      <c r="S21">
        <f>D24</f>
        <v>1</v>
      </c>
      <c r="T21">
        <f>F24</f>
        <v>0</v>
      </c>
      <c r="U21">
        <f>H24</f>
        <v>0</v>
      </c>
      <c r="V21">
        <f>J24</f>
        <v>0</v>
      </c>
      <c r="W21">
        <f>L24</f>
        <v>0</v>
      </c>
      <c r="X21">
        <f>D27</f>
        <v>1</v>
      </c>
      <c r="Y21">
        <f>F27</f>
        <v>0</v>
      </c>
      <c r="Z21">
        <f>H27</f>
        <v>0</v>
      </c>
      <c r="AA21">
        <f>J27</f>
        <v>0</v>
      </c>
      <c r="AB21">
        <f>L27</f>
        <v>0</v>
      </c>
      <c r="AC21">
        <f>D30</f>
        <v>1</v>
      </c>
      <c r="AD21">
        <f>F30</f>
        <v>0</v>
      </c>
      <c r="AE21">
        <f>H30</f>
        <v>0</v>
      </c>
      <c r="AF21">
        <f>J30</f>
        <v>0</v>
      </c>
      <c r="AG21">
        <f>L30</f>
        <v>0</v>
      </c>
    </row>
    <row r="22" spans="1:33">
      <c r="A22" s="32"/>
      <c r="B22" s="33"/>
      <c r="C22" s="36" t="s">
        <v>7</v>
      </c>
      <c r="D22" s="23"/>
      <c r="E22" s="36" t="s">
        <v>8</v>
      </c>
      <c r="F22" s="23"/>
      <c r="G22" s="36" t="s">
        <v>9</v>
      </c>
      <c r="H22" s="23"/>
      <c r="I22" s="36" t="s">
        <v>10</v>
      </c>
      <c r="J22" s="23"/>
      <c r="K22" s="36" t="s">
        <v>11</v>
      </c>
      <c r="L22" s="23"/>
    </row>
    <row r="23" spans="1:33">
      <c r="A23" s="32"/>
      <c r="B23" s="33"/>
      <c r="C23" s="1" t="s">
        <v>0</v>
      </c>
      <c r="D23">
        <v>16.100000000000001</v>
      </c>
      <c r="E23" s="1" t="s">
        <v>0</v>
      </c>
      <c r="F23" s="2">
        <v>11.9</v>
      </c>
      <c r="G23" s="1" t="s">
        <v>0</v>
      </c>
      <c r="H23" s="2">
        <v>12.2</v>
      </c>
      <c r="I23" s="1" t="s">
        <v>0</v>
      </c>
      <c r="J23" s="2">
        <v>11.6</v>
      </c>
      <c r="K23" s="1" t="s">
        <v>0</v>
      </c>
      <c r="L23" s="2">
        <v>10.8</v>
      </c>
    </row>
    <row r="24" spans="1:33" ht="17" thickBot="1">
      <c r="A24" s="32"/>
      <c r="B24" s="33"/>
      <c r="C24" s="3" t="s">
        <v>1</v>
      </c>
      <c r="D24" s="4">
        <v>1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0</v>
      </c>
    </row>
    <row r="25" spans="1:33">
      <c r="A25" s="32"/>
      <c r="B25" s="33"/>
      <c r="C25" s="36" t="s">
        <v>12</v>
      </c>
      <c r="D25" s="23"/>
      <c r="E25" s="36" t="s">
        <v>13</v>
      </c>
      <c r="F25" s="23"/>
      <c r="G25" s="36" t="s">
        <v>14</v>
      </c>
      <c r="H25" s="23"/>
      <c r="I25" s="36" t="s">
        <v>15</v>
      </c>
      <c r="J25" s="23"/>
      <c r="K25" s="36" t="s">
        <v>16</v>
      </c>
      <c r="L25" s="23"/>
    </row>
    <row r="26" spans="1:33">
      <c r="A26" s="32"/>
      <c r="B26" s="33"/>
      <c r="C26" s="1" t="s">
        <v>0</v>
      </c>
      <c r="D26" s="2">
        <v>10.7</v>
      </c>
      <c r="E26" s="1" t="s">
        <v>0</v>
      </c>
      <c r="F26" s="2">
        <v>12.3</v>
      </c>
      <c r="G26" s="1" t="s">
        <v>0</v>
      </c>
      <c r="H26" s="2">
        <v>10.1</v>
      </c>
      <c r="I26" s="1" t="s">
        <v>0</v>
      </c>
      <c r="J26" s="2">
        <v>11.9</v>
      </c>
      <c r="K26" s="1" t="s">
        <v>0</v>
      </c>
      <c r="L26" s="2">
        <v>11.2</v>
      </c>
    </row>
    <row r="27" spans="1:33" ht="17" thickBot="1">
      <c r="A27" s="32"/>
      <c r="B27" s="33"/>
      <c r="C27" s="3" t="s">
        <v>1</v>
      </c>
      <c r="D27" s="4">
        <v>1</v>
      </c>
      <c r="E27" s="3" t="s">
        <v>1</v>
      </c>
      <c r="F27" s="4">
        <v>0</v>
      </c>
      <c r="G27" s="3" t="s">
        <v>1</v>
      </c>
      <c r="H27" s="4">
        <v>0</v>
      </c>
      <c r="I27" s="3" t="s">
        <v>1</v>
      </c>
      <c r="J27" s="4">
        <v>0</v>
      </c>
      <c r="K27" s="3" t="s">
        <v>1</v>
      </c>
      <c r="L27" s="4"/>
    </row>
    <row r="28" spans="1:33">
      <c r="A28" s="32"/>
      <c r="B28" s="33"/>
      <c r="C28" s="36" t="s">
        <v>17</v>
      </c>
      <c r="D28" s="23"/>
      <c r="E28" s="36" t="s">
        <v>18</v>
      </c>
      <c r="F28" s="23"/>
      <c r="G28" s="36" t="s">
        <v>19</v>
      </c>
      <c r="H28" s="23"/>
      <c r="I28" s="36" t="s">
        <v>20</v>
      </c>
      <c r="J28" s="23"/>
      <c r="K28" s="36" t="s">
        <v>21</v>
      </c>
      <c r="L28" s="23"/>
    </row>
    <row r="29" spans="1:33">
      <c r="A29" s="32"/>
      <c r="B29" s="33"/>
      <c r="C29" s="1" t="s">
        <v>0</v>
      </c>
      <c r="D29" s="2">
        <v>15.1</v>
      </c>
      <c r="E29" s="1" t="s">
        <v>0</v>
      </c>
      <c r="F29" s="2">
        <v>10.6</v>
      </c>
      <c r="G29" s="1" t="s">
        <v>0</v>
      </c>
      <c r="H29" s="2">
        <v>11</v>
      </c>
      <c r="I29" s="1" t="s">
        <v>0</v>
      </c>
      <c r="J29" s="2">
        <v>10.7</v>
      </c>
      <c r="K29" s="1" t="s">
        <v>0</v>
      </c>
      <c r="L29" s="2">
        <v>11.4</v>
      </c>
    </row>
    <row r="30" spans="1:33" ht="17" thickBot="1">
      <c r="A30" s="34"/>
      <c r="B30" s="35"/>
      <c r="C30" s="3" t="s">
        <v>1</v>
      </c>
      <c r="D30" s="4">
        <v>1</v>
      </c>
      <c r="E30" s="3" t="s">
        <v>1</v>
      </c>
      <c r="F30" s="4">
        <v>0</v>
      </c>
      <c r="G30" s="3" t="s">
        <v>1</v>
      </c>
      <c r="H30" s="4">
        <v>0</v>
      </c>
      <c r="I30" s="3" t="s">
        <v>1</v>
      </c>
      <c r="J30" s="4">
        <v>0</v>
      </c>
      <c r="K30" s="3" t="s">
        <v>1</v>
      </c>
      <c r="L30" s="4">
        <v>0</v>
      </c>
    </row>
  </sheetData>
  <mergeCells count="54">
    <mergeCell ref="I15:J15"/>
    <mergeCell ref="K15:L15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  <mergeCell ref="G22:H22"/>
    <mergeCell ref="I22:J22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K12:L12"/>
    <mergeCell ref="C15:D15"/>
    <mergeCell ref="E15:F15"/>
    <mergeCell ref="G15:H15"/>
    <mergeCell ref="K25:L25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19:L19"/>
    <mergeCell ref="K22:L22"/>
    <mergeCell ref="A18:L18"/>
    <mergeCell ref="I9:J9"/>
    <mergeCell ref="K9:L9"/>
    <mergeCell ref="C12:D12"/>
    <mergeCell ref="E12:F12"/>
    <mergeCell ref="G12:H12"/>
    <mergeCell ref="I12:J12"/>
    <mergeCell ref="A19:B30"/>
    <mergeCell ref="C19:D19"/>
    <mergeCell ref="E19:F19"/>
    <mergeCell ref="G19:H19"/>
    <mergeCell ref="I19:J19"/>
    <mergeCell ref="C22:D22"/>
    <mergeCell ref="E22:F2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86B5-B525-7449-9BAD-17C4865C5E44}">
  <dimension ref="A1:AG30"/>
  <sheetViews>
    <sheetView workbookViewId="0">
      <selection activeCell="J29" sqref="J29"/>
    </sheetView>
  </sheetViews>
  <sheetFormatPr baseColWidth="10" defaultRowHeight="16"/>
  <sheetData>
    <row r="1" spans="1:33" ht="16" customHeight="1">
      <c r="A1" s="76" t="s">
        <v>67</v>
      </c>
      <c r="B1" s="92"/>
      <c r="C1" s="52" t="s">
        <v>66</v>
      </c>
      <c r="D1" s="95"/>
      <c r="E1" s="96"/>
      <c r="F1" s="55"/>
      <c r="G1" s="55"/>
      <c r="H1" s="56"/>
      <c r="I1" s="57"/>
      <c r="J1" s="58"/>
      <c r="K1" s="58"/>
      <c r="L1" s="59"/>
    </row>
    <row r="2" spans="1:33">
      <c r="A2" s="78"/>
      <c r="B2" s="93"/>
      <c r="C2" s="97" t="s">
        <v>64</v>
      </c>
      <c r="D2" s="67"/>
      <c r="E2" s="68" t="s">
        <v>102</v>
      </c>
      <c r="F2" s="69"/>
      <c r="G2" s="69"/>
      <c r="H2" s="70"/>
      <c r="I2" s="60"/>
      <c r="J2" s="61"/>
      <c r="K2" s="61"/>
      <c r="L2" s="62"/>
    </row>
    <row r="3" spans="1:33">
      <c r="A3" s="78"/>
      <c r="B3" s="93"/>
      <c r="C3" s="97" t="s">
        <v>63</v>
      </c>
      <c r="D3" s="67"/>
      <c r="E3" s="68" t="s">
        <v>103</v>
      </c>
      <c r="F3" s="69"/>
      <c r="G3" s="69"/>
      <c r="H3" s="70"/>
      <c r="I3" s="60"/>
      <c r="J3" s="61"/>
      <c r="K3" s="61"/>
      <c r="L3" s="62"/>
    </row>
    <row r="4" spans="1:33" ht="17" thickBot="1">
      <c r="A4" s="80"/>
      <c r="B4" s="94"/>
      <c r="C4" s="98" t="s">
        <v>61</v>
      </c>
      <c r="D4" s="72"/>
      <c r="E4" s="73">
        <v>160</v>
      </c>
      <c r="F4" s="74"/>
      <c r="G4" s="74"/>
      <c r="H4" s="75"/>
      <c r="I4" s="63"/>
      <c r="J4" s="64"/>
      <c r="K4" s="64"/>
      <c r="L4" s="65"/>
    </row>
    <row r="5" spans="1:33" ht="17" thickBo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33">
      <c r="A6" s="30" t="s">
        <v>23</v>
      </c>
      <c r="B6" s="31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32"/>
      <c r="B7" s="33"/>
      <c r="C7" s="1" t="s">
        <v>0</v>
      </c>
      <c r="D7" s="2">
        <v>9.4</v>
      </c>
      <c r="E7" s="1" t="s">
        <v>0</v>
      </c>
      <c r="F7" s="2">
        <v>8.8000000000000007</v>
      </c>
      <c r="G7" s="1" t="s">
        <v>0</v>
      </c>
      <c r="H7" s="2">
        <v>7.6</v>
      </c>
      <c r="I7" s="1" t="s">
        <v>0</v>
      </c>
      <c r="J7" s="2">
        <v>7.2</v>
      </c>
      <c r="K7" s="1" t="s">
        <v>0</v>
      </c>
      <c r="L7" s="2">
        <v>6.4</v>
      </c>
      <c r="N7">
        <f>D7</f>
        <v>9.4</v>
      </c>
      <c r="O7">
        <f>F7</f>
        <v>8.8000000000000007</v>
      </c>
      <c r="P7">
        <f>H7</f>
        <v>7.6</v>
      </c>
      <c r="Q7">
        <f>J7</f>
        <v>7.2</v>
      </c>
      <c r="R7">
        <f>L7</f>
        <v>6.4</v>
      </c>
      <c r="S7">
        <f>D10</f>
        <v>8</v>
      </c>
      <c r="T7">
        <f>F10</f>
        <v>6.8</v>
      </c>
      <c r="U7">
        <f>H10</f>
        <v>9.1999999999999993</v>
      </c>
      <c r="V7">
        <f>J10</f>
        <v>7.1</v>
      </c>
      <c r="W7">
        <f>L10</f>
        <v>7.1</v>
      </c>
      <c r="X7">
        <f>D13</f>
        <v>0</v>
      </c>
      <c r="Y7">
        <f>F13</f>
        <v>0</v>
      </c>
      <c r="Z7">
        <f>H13</f>
        <v>0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32"/>
      <c r="B8" s="33"/>
      <c r="C8" s="3" t="s">
        <v>1</v>
      </c>
      <c r="D8" s="4">
        <v>2</v>
      </c>
      <c r="E8" s="3" t="s">
        <v>1</v>
      </c>
      <c r="F8" s="4">
        <v>0</v>
      </c>
      <c r="G8" s="3" t="s">
        <v>1</v>
      </c>
      <c r="H8" s="4">
        <v>0</v>
      </c>
      <c r="I8" s="3" t="s">
        <v>1</v>
      </c>
      <c r="J8" s="4">
        <v>0</v>
      </c>
      <c r="K8" s="3" t="s">
        <v>1</v>
      </c>
      <c r="L8" s="4">
        <v>0</v>
      </c>
      <c r="N8">
        <f>D8</f>
        <v>2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1</v>
      </c>
      <c r="V8">
        <f>J11</f>
        <v>0</v>
      </c>
      <c r="W8">
        <f>L11</f>
        <v>0</v>
      </c>
    </row>
    <row r="9" spans="1:33">
      <c r="A9" s="32"/>
      <c r="B9" s="33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32"/>
      <c r="B10" s="33"/>
      <c r="C10" s="1" t="s">
        <v>0</v>
      </c>
      <c r="D10" s="2">
        <v>8</v>
      </c>
      <c r="E10" s="1" t="s">
        <v>0</v>
      </c>
      <c r="F10" s="2">
        <v>6.8</v>
      </c>
      <c r="G10" s="1" t="s">
        <v>0</v>
      </c>
      <c r="H10" s="2">
        <v>9.1999999999999993</v>
      </c>
      <c r="I10" s="1" t="s">
        <v>0</v>
      </c>
      <c r="J10" s="2">
        <v>7.1</v>
      </c>
      <c r="K10" s="1" t="s">
        <v>0</v>
      </c>
      <c r="L10" s="2">
        <v>7.1</v>
      </c>
    </row>
    <row r="11" spans="1:33" ht="17" thickBot="1">
      <c r="A11" s="32"/>
      <c r="B11" s="33"/>
      <c r="C11" s="3" t="s">
        <v>1</v>
      </c>
      <c r="D11" s="4">
        <v>0</v>
      </c>
      <c r="E11" s="3" t="s">
        <v>1</v>
      </c>
      <c r="F11" s="4">
        <v>0</v>
      </c>
      <c r="G11" s="3" t="s">
        <v>1</v>
      </c>
      <c r="H11" s="4">
        <v>1</v>
      </c>
      <c r="I11" s="3" t="s">
        <v>1</v>
      </c>
      <c r="J11" s="4">
        <v>0</v>
      </c>
      <c r="K11" s="3" t="s">
        <v>1</v>
      </c>
      <c r="L11" s="4">
        <v>0</v>
      </c>
    </row>
    <row r="12" spans="1:33">
      <c r="A12" s="32"/>
      <c r="B12" s="33"/>
      <c r="C12" s="36" t="s">
        <v>12</v>
      </c>
      <c r="D12" s="23"/>
      <c r="E12" s="36" t="s">
        <v>13</v>
      </c>
      <c r="F12" s="23"/>
      <c r="G12" s="36" t="s">
        <v>14</v>
      </c>
      <c r="H12" s="23"/>
      <c r="I12" s="36" t="s">
        <v>15</v>
      </c>
      <c r="J12" s="23"/>
      <c r="K12" s="36" t="s">
        <v>16</v>
      </c>
      <c r="L12" s="23"/>
    </row>
    <row r="13" spans="1:33">
      <c r="A13" s="32"/>
      <c r="B13" s="33"/>
      <c r="C13" s="1" t="s">
        <v>0</v>
      </c>
      <c r="D13" s="2"/>
      <c r="E13" s="1" t="s">
        <v>0</v>
      </c>
      <c r="F13" s="2"/>
      <c r="G13" s="1" t="s">
        <v>0</v>
      </c>
      <c r="H13" s="2"/>
      <c r="I13" s="1" t="s">
        <v>0</v>
      </c>
      <c r="J13" s="2"/>
      <c r="K13" s="1" t="s">
        <v>0</v>
      </c>
      <c r="L13" s="2"/>
    </row>
    <row r="14" spans="1:33" ht="17" thickBot="1">
      <c r="A14" s="32"/>
      <c r="B14" s="33"/>
      <c r="C14" s="3" t="s">
        <v>1</v>
      </c>
      <c r="D14" s="4"/>
      <c r="E14" s="3" t="s">
        <v>1</v>
      </c>
      <c r="F14" s="4"/>
      <c r="G14" s="3" t="s">
        <v>1</v>
      </c>
      <c r="H14" s="4"/>
      <c r="I14" s="3" t="s">
        <v>1</v>
      </c>
      <c r="J14" s="4"/>
      <c r="K14" s="3" t="s">
        <v>1</v>
      </c>
      <c r="L14" s="4"/>
    </row>
    <row r="15" spans="1:33">
      <c r="A15" s="32"/>
      <c r="B15" s="33"/>
      <c r="C15" s="36" t="s">
        <v>17</v>
      </c>
      <c r="D15" s="23"/>
      <c r="E15" s="36" t="s">
        <v>18</v>
      </c>
      <c r="F15" s="23"/>
      <c r="G15" s="36" t="s">
        <v>19</v>
      </c>
      <c r="H15" s="23"/>
      <c r="I15" s="36" t="s">
        <v>20</v>
      </c>
      <c r="J15" s="23"/>
      <c r="K15" s="36" t="s">
        <v>21</v>
      </c>
      <c r="L15" s="23"/>
    </row>
    <row r="16" spans="1:33">
      <c r="A16" s="32"/>
      <c r="B16" s="33"/>
      <c r="C16" s="1" t="s">
        <v>0</v>
      </c>
      <c r="D16" s="2"/>
      <c r="E16" s="1" t="s">
        <v>0</v>
      </c>
      <c r="F16" s="2"/>
      <c r="G16" s="1" t="s">
        <v>0</v>
      </c>
      <c r="H16" s="2"/>
      <c r="I16" s="1" t="s">
        <v>0</v>
      </c>
      <c r="J16" s="2"/>
      <c r="K16" s="1" t="s">
        <v>0</v>
      </c>
      <c r="L16" s="2"/>
    </row>
    <row r="17" spans="1:33" ht="17" thickBot="1">
      <c r="A17" s="34"/>
      <c r="B17" s="35"/>
      <c r="C17" s="3" t="s">
        <v>1</v>
      </c>
      <c r="D17" s="4"/>
      <c r="E17" s="3" t="s">
        <v>1</v>
      </c>
      <c r="F17" s="4"/>
      <c r="G17" s="3" t="s">
        <v>1</v>
      </c>
      <c r="H17" s="4"/>
      <c r="I17" s="3" t="s">
        <v>1</v>
      </c>
      <c r="J17" s="4"/>
      <c r="K17" s="3" t="s">
        <v>1</v>
      </c>
      <c r="L17" s="4"/>
    </row>
    <row r="18" spans="1:33" ht="17" thickBot="1">
      <c r="A18" s="3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3"/>
    </row>
    <row r="19" spans="1:33">
      <c r="A19" s="30" t="s">
        <v>22</v>
      </c>
      <c r="B19" s="31"/>
      <c r="C19" s="36" t="s">
        <v>2</v>
      </c>
      <c r="D19" s="23"/>
      <c r="E19" s="36" t="s">
        <v>3</v>
      </c>
      <c r="F19" s="23"/>
      <c r="G19" s="36" t="s">
        <v>4</v>
      </c>
      <c r="H19" s="23"/>
      <c r="I19" s="36" t="s">
        <v>5</v>
      </c>
      <c r="J19" s="23"/>
      <c r="K19" s="36" t="s">
        <v>6</v>
      </c>
      <c r="L19" s="23"/>
    </row>
    <row r="20" spans="1:33">
      <c r="A20" s="32"/>
      <c r="B20" s="33"/>
      <c r="C20" s="1" t="s">
        <v>0</v>
      </c>
      <c r="D20" s="2">
        <v>18.2</v>
      </c>
      <c r="E20" s="1" t="s">
        <v>0</v>
      </c>
      <c r="F20" s="2">
        <v>12.5</v>
      </c>
      <c r="G20" s="1" t="s">
        <v>0</v>
      </c>
      <c r="H20" s="2">
        <v>16.600000000000001</v>
      </c>
      <c r="I20" s="1" t="s">
        <v>0</v>
      </c>
      <c r="J20" s="2">
        <v>15.5</v>
      </c>
      <c r="K20" s="1" t="s">
        <v>0</v>
      </c>
      <c r="L20" s="2">
        <v>18.100000000000001</v>
      </c>
      <c r="N20">
        <f>D20</f>
        <v>18.2</v>
      </c>
      <c r="O20">
        <f>F20</f>
        <v>12.5</v>
      </c>
      <c r="P20">
        <f>H20</f>
        <v>16.600000000000001</v>
      </c>
      <c r="Q20">
        <f>J20</f>
        <v>15.5</v>
      </c>
      <c r="R20">
        <f>L20</f>
        <v>18.100000000000001</v>
      </c>
      <c r="S20">
        <f>D23</f>
        <v>12.8</v>
      </c>
      <c r="T20">
        <f>F23</f>
        <v>12.3</v>
      </c>
      <c r="U20">
        <f>H23</f>
        <v>10.6</v>
      </c>
      <c r="V20">
        <f>J23</f>
        <v>10.4</v>
      </c>
      <c r="W20">
        <f>L23</f>
        <v>11.3</v>
      </c>
      <c r="X20">
        <f>D26</f>
        <v>9.6999999999999993</v>
      </c>
      <c r="Y20">
        <f>F26</f>
        <v>9.5</v>
      </c>
      <c r="Z20">
        <f>H26</f>
        <v>10.199999999999999</v>
      </c>
      <c r="AA20">
        <f>J26</f>
        <v>9.6999999999999993</v>
      </c>
      <c r="AB20">
        <f>L26</f>
        <v>10</v>
      </c>
      <c r="AC20">
        <f>D29</f>
        <v>10.9</v>
      </c>
      <c r="AD20">
        <f>F29</f>
        <v>12.1</v>
      </c>
      <c r="AE20">
        <f>H29</f>
        <v>9.4</v>
      </c>
      <c r="AF20">
        <f>J29</f>
        <v>10.1</v>
      </c>
      <c r="AG20">
        <f>L29</f>
        <v>9.9</v>
      </c>
    </row>
    <row r="21" spans="1:33" ht="17" thickBot="1">
      <c r="A21" s="32"/>
      <c r="B21" s="33"/>
      <c r="C21" s="3" t="s">
        <v>1</v>
      </c>
      <c r="D21" s="4">
        <v>2</v>
      </c>
      <c r="E21" s="3" t="s">
        <v>1</v>
      </c>
      <c r="F21" s="4">
        <v>0</v>
      </c>
      <c r="G21" s="3" t="s">
        <v>1</v>
      </c>
      <c r="H21" s="4">
        <v>1</v>
      </c>
      <c r="I21" s="3" t="s">
        <v>1</v>
      </c>
      <c r="J21" s="4">
        <v>1</v>
      </c>
      <c r="K21" s="3" t="s">
        <v>1</v>
      </c>
      <c r="L21" s="4">
        <v>0</v>
      </c>
      <c r="N21">
        <f>D21</f>
        <v>2</v>
      </c>
      <c r="O21">
        <f>F21</f>
        <v>0</v>
      </c>
      <c r="P21">
        <f>H21</f>
        <v>1</v>
      </c>
      <c r="Q21">
        <f>J21</f>
        <v>1</v>
      </c>
      <c r="R21">
        <f>L21</f>
        <v>0</v>
      </c>
      <c r="S21">
        <f>D24</f>
        <v>0</v>
      </c>
      <c r="T21">
        <f>F24</f>
        <v>1</v>
      </c>
      <c r="U21">
        <f>H24</f>
        <v>0</v>
      </c>
      <c r="V21">
        <f>J24</f>
        <v>0</v>
      </c>
      <c r="W21">
        <f>L24</f>
        <v>0</v>
      </c>
      <c r="X21">
        <f>D27</f>
        <v>1</v>
      </c>
      <c r="Y21">
        <f>F27</f>
        <v>1</v>
      </c>
      <c r="Z21">
        <f>H27</f>
        <v>0</v>
      </c>
      <c r="AA21">
        <f>J27</f>
        <v>0</v>
      </c>
      <c r="AB21">
        <f>L27</f>
        <v>0</v>
      </c>
      <c r="AC21">
        <f>D30</f>
        <v>1</v>
      </c>
      <c r="AD21">
        <f>F30</f>
        <v>0</v>
      </c>
      <c r="AE21">
        <f>H30</f>
        <v>0</v>
      </c>
      <c r="AF21">
        <f>J30</f>
        <v>0</v>
      </c>
      <c r="AG21">
        <f>L30</f>
        <v>0</v>
      </c>
    </row>
    <row r="22" spans="1:33">
      <c r="A22" s="32"/>
      <c r="B22" s="33"/>
      <c r="C22" s="36" t="s">
        <v>7</v>
      </c>
      <c r="D22" s="23"/>
      <c r="E22" s="36" t="s">
        <v>8</v>
      </c>
      <c r="F22" s="23"/>
      <c r="G22" s="36" t="s">
        <v>9</v>
      </c>
      <c r="H22" s="23"/>
      <c r="I22" s="36" t="s">
        <v>10</v>
      </c>
      <c r="J22" s="23"/>
      <c r="K22" s="36" t="s">
        <v>11</v>
      </c>
      <c r="L22" s="23"/>
    </row>
    <row r="23" spans="1:33">
      <c r="A23" s="32"/>
      <c r="B23" s="33"/>
      <c r="C23" s="1" t="s">
        <v>0</v>
      </c>
      <c r="D23" s="2">
        <v>12.8</v>
      </c>
      <c r="E23" s="1" t="s">
        <v>0</v>
      </c>
      <c r="F23" s="2">
        <v>12.3</v>
      </c>
      <c r="G23" s="1" t="s">
        <v>0</v>
      </c>
      <c r="H23" s="2">
        <v>10.6</v>
      </c>
      <c r="I23" s="1" t="s">
        <v>0</v>
      </c>
      <c r="J23" s="2">
        <v>10.4</v>
      </c>
      <c r="K23" s="1" t="s">
        <v>0</v>
      </c>
      <c r="L23" s="2">
        <v>11.3</v>
      </c>
    </row>
    <row r="24" spans="1:33" ht="17" thickBot="1">
      <c r="A24" s="32"/>
      <c r="B24" s="33"/>
      <c r="C24" s="3" t="s">
        <v>1</v>
      </c>
      <c r="D24" s="4">
        <v>0</v>
      </c>
      <c r="E24" s="3" t="s">
        <v>1</v>
      </c>
      <c r="F24" s="4">
        <v>1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0</v>
      </c>
    </row>
    <row r="25" spans="1:33">
      <c r="A25" s="32"/>
      <c r="B25" s="33"/>
      <c r="C25" s="36" t="s">
        <v>12</v>
      </c>
      <c r="D25" s="23"/>
      <c r="E25" s="36" t="s">
        <v>13</v>
      </c>
      <c r="F25" s="23"/>
      <c r="G25" s="36" t="s">
        <v>14</v>
      </c>
      <c r="H25" s="23"/>
      <c r="I25" s="36" t="s">
        <v>15</v>
      </c>
      <c r="J25" s="23"/>
      <c r="K25" s="36" t="s">
        <v>16</v>
      </c>
      <c r="L25" s="23"/>
    </row>
    <row r="26" spans="1:33">
      <c r="A26" s="32"/>
      <c r="B26" s="33"/>
      <c r="C26" s="1" t="s">
        <v>0</v>
      </c>
      <c r="D26" s="2">
        <v>9.6999999999999993</v>
      </c>
      <c r="E26" s="1" t="s">
        <v>0</v>
      </c>
      <c r="F26" s="2">
        <v>9.5</v>
      </c>
      <c r="G26" s="1" t="s">
        <v>0</v>
      </c>
      <c r="H26" s="2">
        <v>10.199999999999999</v>
      </c>
      <c r="I26" s="1" t="s">
        <v>0</v>
      </c>
      <c r="J26" s="2">
        <v>9.6999999999999993</v>
      </c>
      <c r="K26" s="1" t="s">
        <v>0</v>
      </c>
      <c r="L26" s="2">
        <v>10</v>
      </c>
    </row>
    <row r="27" spans="1:33" ht="17" thickBot="1">
      <c r="A27" s="32"/>
      <c r="B27" s="33"/>
      <c r="C27" s="3" t="s">
        <v>1</v>
      </c>
      <c r="D27" s="4">
        <v>1</v>
      </c>
      <c r="E27" s="3" t="s">
        <v>1</v>
      </c>
      <c r="F27" s="4">
        <v>1</v>
      </c>
      <c r="G27" s="3" t="s">
        <v>1</v>
      </c>
      <c r="H27" s="4">
        <v>0</v>
      </c>
      <c r="I27" s="3" t="s">
        <v>1</v>
      </c>
      <c r="J27" s="4">
        <v>0</v>
      </c>
      <c r="K27" s="3" t="s">
        <v>1</v>
      </c>
      <c r="L27" s="4">
        <v>0</v>
      </c>
    </row>
    <row r="28" spans="1:33">
      <c r="A28" s="32"/>
      <c r="B28" s="33"/>
      <c r="C28" s="36" t="s">
        <v>17</v>
      </c>
      <c r="D28" s="23"/>
      <c r="E28" s="36" t="s">
        <v>18</v>
      </c>
      <c r="F28" s="23"/>
      <c r="G28" s="36" t="s">
        <v>19</v>
      </c>
      <c r="H28" s="23"/>
      <c r="I28" s="36" t="s">
        <v>20</v>
      </c>
      <c r="J28" s="23"/>
      <c r="K28" s="36" t="s">
        <v>21</v>
      </c>
      <c r="L28" s="23"/>
    </row>
    <row r="29" spans="1:33">
      <c r="A29" s="32"/>
      <c r="B29" s="33"/>
      <c r="C29" s="1" t="s">
        <v>0</v>
      </c>
      <c r="D29" s="2">
        <v>10.9</v>
      </c>
      <c r="E29" s="1" t="s">
        <v>0</v>
      </c>
      <c r="F29" s="2">
        <v>12.1</v>
      </c>
      <c r="G29" s="1" t="s">
        <v>0</v>
      </c>
      <c r="H29" s="2">
        <v>9.4</v>
      </c>
      <c r="I29" s="1" t="s">
        <v>0</v>
      </c>
      <c r="J29" s="2">
        <v>10.1</v>
      </c>
      <c r="K29" s="1" t="s">
        <v>0</v>
      </c>
      <c r="L29" s="2">
        <v>9.9</v>
      </c>
    </row>
    <row r="30" spans="1:33" ht="17" thickBot="1">
      <c r="A30" s="34"/>
      <c r="B30" s="35"/>
      <c r="C30" s="3" t="s">
        <v>1</v>
      </c>
      <c r="D30" s="4">
        <v>1</v>
      </c>
      <c r="E30" s="3" t="s">
        <v>1</v>
      </c>
      <c r="F30" s="4">
        <v>0</v>
      </c>
      <c r="G30" s="3" t="s">
        <v>1</v>
      </c>
      <c r="H30" s="4">
        <v>0</v>
      </c>
      <c r="I30" s="3" t="s">
        <v>1</v>
      </c>
      <c r="J30" s="4">
        <v>0</v>
      </c>
      <c r="K30" s="3" t="s">
        <v>1</v>
      </c>
      <c r="L30" s="4">
        <v>0</v>
      </c>
    </row>
  </sheetData>
  <mergeCells count="54">
    <mergeCell ref="K25:L25"/>
    <mergeCell ref="C28:D28"/>
    <mergeCell ref="E28:F28"/>
    <mergeCell ref="G28:H28"/>
    <mergeCell ref="I28:J28"/>
    <mergeCell ref="K28:L28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19:L19"/>
    <mergeCell ref="C22:D22"/>
    <mergeCell ref="E22:F22"/>
    <mergeCell ref="G22:H22"/>
    <mergeCell ref="I22:J22"/>
    <mergeCell ref="K22:L22"/>
    <mergeCell ref="A18:L18"/>
    <mergeCell ref="I9:J9"/>
    <mergeCell ref="K9:L9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E4:H4"/>
    <mergeCell ref="A1:B4"/>
    <mergeCell ref="C1:D1"/>
    <mergeCell ref="E1:H1"/>
    <mergeCell ref="I1:L4"/>
    <mergeCell ref="C2:D2"/>
    <mergeCell ref="E2:H2"/>
    <mergeCell ref="C3:D3"/>
    <mergeCell ref="E3:H3"/>
    <mergeCell ref="C4:D4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A289-1459-134E-B2AE-861E56AEA886}">
  <dimension ref="A1:AG24"/>
  <sheetViews>
    <sheetView topLeftCell="A2" workbookViewId="0">
      <selection activeCell="O14" sqref="O14"/>
    </sheetView>
  </sheetViews>
  <sheetFormatPr baseColWidth="10" defaultColWidth="11" defaultRowHeight="16"/>
  <cols>
    <col min="1" max="2" width="11" style="6"/>
    <col min="3" max="4" width="10.83203125" style="6" customWidth="1"/>
    <col min="5" max="16384" width="11" style="6"/>
  </cols>
  <sheetData>
    <row r="1" spans="1:33">
      <c r="A1" s="121" t="s">
        <v>67</v>
      </c>
      <c r="B1" s="122"/>
      <c r="C1" s="105" t="s">
        <v>66</v>
      </c>
      <c r="D1" s="106"/>
      <c r="E1" s="106" t="s">
        <v>65</v>
      </c>
      <c r="F1" s="106"/>
      <c r="G1" s="106"/>
      <c r="H1" s="107"/>
      <c r="I1" s="99"/>
      <c r="J1" s="99"/>
      <c r="K1" s="99"/>
      <c r="L1" s="100"/>
    </row>
    <row r="2" spans="1:33">
      <c r="A2" s="123"/>
      <c r="B2" s="124"/>
      <c r="C2" s="108" t="s">
        <v>64</v>
      </c>
      <c r="D2" s="109"/>
      <c r="E2" s="110">
        <v>531149301</v>
      </c>
      <c r="F2" s="111"/>
      <c r="G2" s="111"/>
      <c r="H2" s="112"/>
      <c r="I2" s="101"/>
      <c r="J2" s="101"/>
      <c r="K2" s="101"/>
      <c r="L2" s="102"/>
    </row>
    <row r="3" spans="1:33">
      <c r="A3" s="123"/>
      <c r="B3" s="124"/>
      <c r="C3" s="108" t="s">
        <v>63</v>
      </c>
      <c r="D3" s="109"/>
      <c r="E3" s="110" t="s">
        <v>62</v>
      </c>
      <c r="F3" s="111"/>
      <c r="G3" s="111"/>
      <c r="H3" s="112"/>
      <c r="I3" s="101"/>
      <c r="J3" s="101"/>
      <c r="K3" s="101"/>
      <c r="L3" s="102"/>
    </row>
    <row r="4" spans="1:33" ht="17" thickBot="1">
      <c r="A4" s="125"/>
      <c r="B4" s="126"/>
      <c r="C4" s="113" t="s">
        <v>61</v>
      </c>
      <c r="D4" s="114"/>
      <c r="E4" s="115">
        <v>200</v>
      </c>
      <c r="F4" s="116"/>
      <c r="G4" s="116"/>
      <c r="H4" s="117"/>
      <c r="I4" s="103"/>
      <c r="J4" s="103"/>
      <c r="K4" s="103"/>
      <c r="L4" s="104"/>
    </row>
    <row r="5" spans="1:33" ht="17" thickBo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</row>
    <row r="6" spans="1:33" ht="16" customHeight="1">
      <c r="A6" s="127" t="s">
        <v>60</v>
      </c>
      <c r="B6" s="128"/>
      <c r="C6" s="105" t="s">
        <v>58</v>
      </c>
      <c r="D6" s="107"/>
      <c r="E6" s="105" t="s">
        <v>57</v>
      </c>
      <c r="F6" s="107"/>
      <c r="G6" s="105" t="s">
        <v>56</v>
      </c>
      <c r="H6" s="107"/>
      <c r="I6" s="105" t="s">
        <v>55</v>
      </c>
      <c r="J6" s="107"/>
      <c r="K6" s="105" t="s">
        <v>54</v>
      </c>
      <c r="L6" s="107"/>
    </row>
    <row r="7" spans="1:33">
      <c r="A7" s="129"/>
      <c r="B7" s="130"/>
      <c r="C7" s="11" t="s">
        <v>38</v>
      </c>
      <c r="D7" s="10">
        <v>7.4</v>
      </c>
      <c r="E7" s="11" t="s">
        <v>38</v>
      </c>
      <c r="F7" s="10">
        <v>8.6</v>
      </c>
      <c r="G7" s="11" t="s">
        <v>38</v>
      </c>
      <c r="H7" s="10">
        <v>8.1999999999999993</v>
      </c>
      <c r="I7" s="11" t="s">
        <v>38</v>
      </c>
      <c r="J7" s="10">
        <v>7</v>
      </c>
      <c r="K7" s="11" t="s">
        <v>38</v>
      </c>
      <c r="L7" s="10">
        <v>6.6</v>
      </c>
      <c r="N7">
        <f>D7</f>
        <v>7.4</v>
      </c>
      <c r="O7">
        <f>F7</f>
        <v>8.6</v>
      </c>
      <c r="P7">
        <f>H7</f>
        <v>8.1999999999999993</v>
      </c>
      <c r="Q7">
        <f>J7</f>
        <v>7</v>
      </c>
      <c r="R7">
        <f>L7</f>
        <v>6.6</v>
      </c>
      <c r="S7">
        <f>D10</f>
        <v>7.7</v>
      </c>
      <c r="T7">
        <f>F10</f>
        <v>8.6999999999999993</v>
      </c>
      <c r="U7">
        <f>H10</f>
        <v>8.1</v>
      </c>
      <c r="V7">
        <f>J10</f>
        <v>9.1</v>
      </c>
      <c r="W7">
        <f>L10</f>
        <v>7.3</v>
      </c>
    </row>
    <row r="8" spans="1:33" ht="17" thickBot="1">
      <c r="A8" s="129"/>
      <c r="B8" s="130"/>
      <c r="C8" s="8" t="s">
        <v>37</v>
      </c>
      <c r="D8" s="7">
        <v>0</v>
      </c>
      <c r="E8" s="8" t="s">
        <v>37</v>
      </c>
      <c r="F8" s="7">
        <v>0</v>
      </c>
      <c r="G8" s="8" t="s">
        <v>37</v>
      </c>
      <c r="H8" s="7">
        <v>0</v>
      </c>
      <c r="I8" s="8" t="s">
        <v>37</v>
      </c>
      <c r="J8" s="7">
        <v>0</v>
      </c>
      <c r="K8" s="8" t="s">
        <v>37</v>
      </c>
      <c r="L8" s="7">
        <v>0</v>
      </c>
      <c r="N8">
        <f>D8</f>
        <v>0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1</v>
      </c>
      <c r="V8">
        <f>J11</f>
        <v>0</v>
      </c>
      <c r="W8">
        <f>L11</f>
        <v>1</v>
      </c>
    </row>
    <row r="9" spans="1:33">
      <c r="A9" s="129"/>
      <c r="B9" s="130"/>
      <c r="C9" s="105" t="s">
        <v>53</v>
      </c>
      <c r="D9" s="107"/>
      <c r="E9" s="105" t="s">
        <v>52</v>
      </c>
      <c r="F9" s="107"/>
      <c r="G9" s="105" t="s">
        <v>51</v>
      </c>
      <c r="H9" s="107"/>
      <c r="I9" s="105" t="s">
        <v>50</v>
      </c>
      <c r="J9" s="107"/>
      <c r="K9" s="105" t="s">
        <v>49</v>
      </c>
      <c r="L9" s="107"/>
    </row>
    <row r="10" spans="1:33">
      <c r="A10" s="129"/>
      <c r="B10" s="130"/>
      <c r="C10" s="11" t="s">
        <v>38</v>
      </c>
      <c r="D10" s="10">
        <v>7.7</v>
      </c>
      <c r="E10" s="11" t="s">
        <v>38</v>
      </c>
      <c r="F10" s="10">
        <v>8.6999999999999993</v>
      </c>
      <c r="G10" s="11" t="s">
        <v>38</v>
      </c>
      <c r="H10" s="10">
        <v>8.1</v>
      </c>
      <c r="I10" s="11" t="s">
        <v>38</v>
      </c>
      <c r="J10" s="10">
        <v>9.1</v>
      </c>
      <c r="K10" s="11" t="s">
        <v>38</v>
      </c>
      <c r="L10" s="10">
        <v>7.3</v>
      </c>
    </row>
    <row r="11" spans="1:33" ht="17" thickBot="1">
      <c r="A11" s="129"/>
      <c r="B11" s="130"/>
      <c r="C11" s="12" t="s">
        <v>37</v>
      </c>
      <c r="D11" s="9">
        <v>0</v>
      </c>
      <c r="E11" s="12" t="s">
        <v>37</v>
      </c>
      <c r="F11" s="9">
        <v>0</v>
      </c>
      <c r="G11" s="12" t="s">
        <v>37</v>
      </c>
      <c r="H11" s="9">
        <v>1</v>
      </c>
      <c r="I11" s="12" t="s">
        <v>37</v>
      </c>
      <c r="J11" s="9">
        <v>0</v>
      </c>
      <c r="K11" s="12" t="s">
        <v>37</v>
      </c>
      <c r="L11" s="9">
        <v>1</v>
      </c>
    </row>
    <row r="12" spans="1:33" ht="17" thickBot="1">
      <c r="A12" s="118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20"/>
    </row>
    <row r="13" spans="1:33" ht="17" customHeight="1">
      <c r="A13" s="127" t="s">
        <v>59</v>
      </c>
      <c r="B13" s="128"/>
      <c r="C13" s="131" t="s">
        <v>58</v>
      </c>
      <c r="D13" s="132"/>
      <c r="E13" s="131" t="s">
        <v>57</v>
      </c>
      <c r="F13" s="132"/>
      <c r="G13" s="131" t="s">
        <v>56</v>
      </c>
      <c r="H13" s="132"/>
      <c r="I13" s="131" t="s">
        <v>55</v>
      </c>
      <c r="J13" s="132"/>
      <c r="K13" s="131" t="s">
        <v>54</v>
      </c>
      <c r="L13" s="132"/>
    </row>
    <row r="14" spans="1:33">
      <c r="A14" s="129"/>
      <c r="B14" s="130"/>
      <c r="C14" s="11" t="s">
        <v>38</v>
      </c>
      <c r="D14" s="10">
        <v>17.600000000000001</v>
      </c>
      <c r="E14" s="11" t="s">
        <v>38</v>
      </c>
      <c r="F14" s="10">
        <v>12.8</v>
      </c>
      <c r="G14" s="11" t="s">
        <v>38</v>
      </c>
      <c r="H14" s="10">
        <v>13.7</v>
      </c>
      <c r="I14" s="11" t="s">
        <v>38</v>
      </c>
      <c r="J14" s="10">
        <v>15.9</v>
      </c>
      <c r="K14" s="11" t="s">
        <v>38</v>
      </c>
      <c r="L14" s="10">
        <v>17.3</v>
      </c>
      <c r="N14">
        <f>D14</f>
        <v>17.600000000000001</v>
      </c>
      <c r="O14">
        <f>F14</f>
        <v>12.8</v>
      </c>
      <c r="P14">
        <f>H14</f>
        <v>13.7</v>
      </c>
      <c r="Q14">
        <f>J14</f>
        <v>15.9</v>
      </c>
      <c r="R14">
        <f>L14</f>
        <v>17.3</v>
      </c>
      <c r="S14">
        <f>D17</f>
        <v>16.3</v>
      </c>
      <c r="T14">
        <f>F17</f>
        <v>16.899999999999999</v>
      </c>
      <c r="U14">
        <f>H17</f>
        <v>14.4</v>
      </c>
      <c r="V14">
        <f>J17</f>
        <v>17.399999999999999</v>
      </c>
      <c r="W14">
        <f>L17</f>
        <v>13.1</v>
      </c>
      <c r="X14">
        <f>D20</f>
        <v>13</v>
      </c>
      <c r="Y14">
        <f>F20</f>
        <v>11.3</v>
      </c>
      <c r="Z14">
        <f>H20</f>
        <v>13.9</v>
      </c>
      <c r="AA14">
        <f>J20</f>
        <v>12.3</v>
      </c>
      <c r="AB14">
        <f>L20</f>
        <v>16.399999999999999</v>
      </c>
      <c r="AC14">
        <f>D23</f>
        <v>10.1</v>
      </c>
      <c r="AD14">
        <f>F23</f>
        <v>13.5</v>
      </c>
      <c r="AE14">
        <f>H23</f>
        <v>14</v>
      </c>
      <c r="AF14">
        <f>J23</f>
        <v>12.5</v>
      </c>
      <c r="AG14">
        <f>L23</f>
        <v>12.3</v>
      </c>
    </row>
    <row r="15" spans="1:33" ht="17" thickBot="1">
      <c r="A15" s="129"/>
      <c r="B15" s="130"/>
      <c r="C15" s="8" t="s">
        <v>37</v>
      </c>
      <c r="D15" s="9">
        <v>0</v>
      </c>
      <c r="E15" s="8" t="s">
        <v>37</v>
      </c>
      <c r="F15" s="9">
        <v>0</v>
      </c>
      <c r="G15" s="8" t="s">
        <v>37</v>
      </c>
      <c r="H15" s="9">
        <v>0</v>
      </c>
      <c r="I15" s="8" t="s">
        <v>37</v>
      </c>
      <c r="J15" s="9">
        <v>0</v>
      </c>
      <c r="K15" s="8" t="s">
        <v>37</v>
      </c>
      <c r="L15" s="9">
        <v>0</v>
      </c>
      <c r="N15">
        <f>D15</f>
        <v>0</v>
      </c>
      <c r="O15">
        <f>F15</f>
        <v>0</v>
      </c>
      <c r="P15">
        <f>H15</f>
        <v>0</v>
      </c>
      <c r="Q15">
        <f>J15</f>
        <v>0</v>
      </c>
      <c r="R15">
        <f>L15</f>
        <v>0</v>
      </c>
      <c r="S15">
        <f>D18</f>
        <v>1</v>
      </c>
      <c r="T15">
        <f>F18</f>
        <v>0</v>
      </c>
      <c r="U15">
        <f>H18</f>
        <v>1</v>
      </c>
      <c r="V15">
        <f>J18</f>
        <v>2</v>
      </c>
      <c r="W15">
        <f>L18</f>
        <v>0</v>
      </c>
      <c r="X15">
        <f>D21</f>
        <v>0</v>
      </c>
      <c r="Y15">
        <f>F21</f>
        <v>0</v>
      </c>
      <c r="Z15">
        <f>H21</f>
        <v>1</v>
      </c>
      <c r="AA15">
        <f>J21</f>
        <v>1</v>
      </c>
      <c r="AB15">
        <f>L21</f>
        <v>0</v>
      </c>
      <c r="AC15">
        <f>D24</f>
        <v>0</v>
      </c>
      <c r="AD15">
        <f>F24</f>
        <v>0</v>
      </c>
      <c r="AE15">
        <f>H24</f>
        <v>0</v>
      </c>
      <c r="AF15">
        <f>J24</f>
        <v>0</v>
      </c>
      <c r="AG15">
        <f>L24</f>
        <v>1</v>
      </c>
    </row>
    <row r="16" spans="1:33">
      <c r="A16" s="129"/>
      <c r="B16" s="130"/>
      <c r="C16" s="105" t="s">
        <v>53</v>
      </c>
      <c r="D16" s="107"/>
      <c r="E16" s="105" t="s">
        <v>52</v>
      </c>
      <c r="F16" s="107"/>
      <c r="G16" s="105" t="s">
        <v>51</v>
      </c>
      <c r="H16" s="107"/>
      <c r="I16" s="105" t="s">
        <v>50</v>
      </c>
      <c r="J16" s="107"/>
      <c r="K16" s="105" t="s">
        <v>49</v>
      </c>
      <c r="L16" s="107"/>
    </row>
    <row r="17" spans="1:12">
      <c r="A17" s="129"/>
      <c r="B17" s="130"/>
      <c r="C17" s="11" t="s">
        <v>38</v>
      </c>
      <c r="D17" s="6">
        <v>16.3</v>
      </c>
      <c r="E17" s="11" t="s">
        <v>38</v>
      </c>
      <c r="F17" s="10">
        <v>16.899999999999999</v>
      </c>
      <c r="G17" s="11" t="s">
        <v>38</v>
      </c>
      <c r="H17" s="10">
        <v>14.4</v>
      </c>
      <c r="I17" s="11" t="s">
        <v>38</v>
      </c>
      <c r="J17" s="10">
        <v>17.399999999999999</v>
      </c>
      <c r="K17" s="11" t="s">
        <v>38</v>
      </c>
      <c r="L17" s="10">
        <v>13.1</v>
      </c>
    </row>
    <row r="18" spans="1:12" ht="17" thickBot="1">
      <c r="A18" s="129"/>
      <c r="B18" s="130"/>
      <c r="C18" s="8" t="s">
        <v>37</v>
      </c>
      <c r="D18" s="7">
        <v>1</v>
      </c>
      <c r="E18" s="8" t="s">
        <v>37</v>
      </c>
      <c r="F18" s="9">
        <v>0</v>
      </c>
      <c r="G18" s="8" t="s">
        <v>37</v>
      </c>
      <c r="H18" s="7">
        <v>1</v>
      </c>
      <c r="I18" s="8" t="s">
        <v>37</v>
      </c>
      <c r="J18" s="7">
        <v>2</v>
      </c>
      <c r="K18" s="8" t="s">
        <v>37</v>
      </c>
      <c r="L18" s="9">
        <v>0</v>
      </c>
    </row>
    <row r="19" spans="1:12" ht="16" customHeight="1">
      <c r="A19" s="129"/>
      <c r="B19" s="130"/>
      <c r="C19" s="105" t="s">
        <v>48</v>
      </c>
      <c r="D19" s="107"/>
      <c r="E19" s="105" t="s">
        <v>47</v>
      </c>
      <c r="F19" s="107"/>
      <c r="G19" s="105" t="s">
        <v>46</v>
      </c>
      <c r="H19" s="107"/>
      <c r="I19" s="105" t="s">
        <v>45</v>
      </c>
      <c r="J19" s="107"/>
      <c r="K19" s="105" t="s">
        <v>44</v>
      </c>
      <c r="L19" s="107"/>
    </row>
    <row r="20" spans="1:12">
      <c r="A20" s="129"/>
      <c r="B20" s="130"/>
      <c r="C20" s="11" t="s">
        <v>38</v>
      </c>
      <c r="D20" s="10">
        <v>13</v>
      </c>
      <c r="E20" s="11" t="s">
        <v>38</v>
      </c>
      <c r="F20" s="10">
        <v>11.3</v>
      </c>
      <c r="G20" s="11" t="s">
        <v>38</v>
      </c>
      <c r="H20" s="10">
        <v>13.9</v>
      </c>
      <c r="I20" s="11" t="s">
        <v>38</v>
      </c>
      <c r="J20" s="10">
        <v>12.3</v>
      </c>
      <c r="K20" s="11" t="s">
        <v>38</v>
      </c>
      <c r="L20" s="10">
        <v>16.399999999999999</v>
      </c>
    </row>
    <row r="21" spans="1:12" ht="17" thickBot="1">
      <c r="A21" s="129"/>
      <c r="B21" s="130"/>
      <c r="C21" s="8" t="s">
        <v>37</v>
      </c>
      <c r="D21" s="9">
        <v>0</v>
      </c>
      <c r="E21" s="8" t="s">
        <v>37</v>
      </c>
      <c r="F21" s="9">
        <v>0</v>
      </c>
      <c r="G21" s="8" t="s">
        <v>37</v>
      </c>
      <c r="H21" s="7">
        <v>1</v>
      </c>
      <c r="I21" s="8" t="s">
        <v>37</v>
      </c>
      <c r="J21" s="7">
        <v>1</v>
      </c>
      <c r="K21" s="8" t="s">
        <v>37</v>
      </c>
      <c r="L21" s="9">
        <v>0</v>
      </c>
    </row>
    <row r="22" spans="1:12">
      <c r="A22" s="129"/>
      <c r="B22" s="130"/>
      <c r="C22" s="105" t="s">
        <v>43</v>
      </c>
      <c r="D22" s="107"/>
      <c r="E22" s="105" t="s">
        <v>42</v>
      </c>
      <c r="F22" s="107"/>
      <c r="G22" s="105" t="s">
        <v>41</v>
      </c>
      <c r="H22" s="107"/>
      <c r="I22" s="105" t="s">
        <v>40</v>
      </c>
      <c r="J22" s="107"/>
      <c r="K22" s="105" t="s">
        <v>39</v>
      </c>
      <c r="L22" s="107"/>
    </row>
    <row r="23" spans="1:12">
      <c r="A23" s="129"/>
      <c r="B23" s="130"/>
      <c r="C23" s="11" t="s">
        <v>38</v>
      </c>
      <c r="D23" s="10">
        <v>10.1</v>
      </c>
      <c r="E23" s="11" t="s">
        <v>38</v>
      </c>
      <c r="F23" s="10">
        <v>13.5</v>
      </c>
      <c r="G23" s="11" t="s">
        <v>38</v>
      </c>
      <c r="H23" s="10">
        <v>14</v>
      </c>
      <c r="I23" s="11" t="s">
        <v>38</v>
      </c>
      <c r="J23" s="10">
        <v>12.5</v>
      </c>
      <c r="K23" s="11" t="s">
        <v>38</v>
      </c>
      <c r="L23" s="10">
        <v>12.3</v>
      </c>
    </row>
    <row r="24" spans="1:12" ht="17" thickBot="1">
      <c r="A24" s="133"/>
      <c r="B24" s="134"/>
      <c r="C24" s="8" t="s">
        <v>37</v>
      </c>
      <c r="D24" s="9">
        <v>0</v>
      </c>
      <c r="E24" s="8" t="s">
        <v>37</v>
      </c>
      <c r="F24" s="9">
        <v>0</v>
      </c>
      <c r="G24" s="8" t="s">
        <v>37</v>
      </c>
      <c r="H24" s="9">
        <v>0</v>
      </c>
      <c r="I24" s="8" t="s">
        <v>37</v>
      </c>
      <c r="J24" s="9">
        <v>0</v>
      </c>
      <c r="K24" s="8" t="s">
        <v>37</v>
      </c>
      <c r="L24" s="7">
        <v>1</v>
      </c>
    </row>
  </sheetData>
  <mergeCells count="44">
    <mergeCell ref="K22:L22"/>
    <mergeCell ref="C19:D19"/>
    <mergeCell ref="E19:F19"/>
    <mergeCell ref="G19:H19"/>
    <mergeCell ref="I19:J19"/>
    <mergeCell ref="K19:L19"/>
    <mergeCell ref="E13:F13"/>
    <mergeCell ref="G13:H13"/>
    <mergeCell ref="I13:J13"/>
    <mergeCell ref="C22:D22"/>
    <mergeCell ref="E22:F22"/>
    <mergeCell ref="G22:H22"/>
    <mergeCell ref="I22:J22"/>
    <mergeCell ref="A1:B4"/>
    <mergeCell ref="A6:B11"/>
    <mergeCell ref="K13:L13"/>
    <mergeCell ref="A13:B24"/>
    <mergeCell ref="C9:D9"/>
    <mergeCell ref="E9:F9"/>
    <mergeCell ref="G9:H9"/>
    <mergeCell ref="I9:J9"/>
    <mergeCell ref="K9:L9"/>
    <mergeCell ref="C16:D16"/>
    <mergeCell ref="E16:F16"/>
    <mergeCell ref="G16:H16"/>
    <mergeCell ref="I16:J16"/>
    <mergeCell ref="K16:L16"/>
    <mergeCell ref="A12:L12"/>
    <mergeCell ref="C13:D13"/>
    <mergeCell ref="A5:L5"/>
    <mergeCell ref="C6:D6"/>
    <mergeCell ref="E6:F6"/>
    <mergeCell ref="G6:H6"/>
    <mergeCell ref="I6:J6"/>
    <mergeCell ref="K6:L6"/>
    <mergeCell ref="I1:L4"/>
    <mergeCell ref="C1:D1"/>
    <mergeCell ref="E1:H1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01F0-AD7B-AF48-9DA2-0DF0C6A00D58}">
  <dimension ref="A1:AG24"/>
  <sheetViews>
    <sheetView topLeftCell="R1" zoomScaleNormal="50" workbookViewId="0">
      <selection activeCell="AF14" sqref="AF14"/>
    </sheetView>
  </sheetViews>
  <sheetFormatPr baseColWidth="10" defaultColWidth="11" defaultRowHeight="16"/>
  <cols>
    <col min="3" max="4" width="10.83203125" customWidth="1"/>
  </cols>
  <sheetData>
    <row r="1" spans="1:33">
      <c r="A1" s="17" t="s">
        <v>77</v>
      </c>
      <c r="B1" s="26"/>
      <c r="C1" s="36" t="s">
        <v>76</v>
      </c>
      <c r="D1" s="18"/>
      <c r="E1" s="18" t="s">
        <v>104</v>
      </c>
      <c r="F1" s="18"/>
      <c r="G1" s="18"/>
      <c r="H1" s="23"/>
      <c r="I1" s="40"/>
      <c r="J1" s="40"/>
      <c r="K1" s="40"/>
      <c r="L1" s="31"/>
    </row>
    <row r="2" spans="1:33">
      <c r="A2" s="19"/>
      <c r="B2" s="38"/>
      <c r="C2" s="41" t="s">
        <v>75</v>
      </c>
      <c r="D2" s="42"/>
      <c r="E2" s="135">
        <v>16620891101</v>
      </c>
      <c r="F2" s="136"/>
      <c r="G2" s="136"/>
      <c r="H2" s="137"/>
      <c r="I2" s="37"/>
      <c r="J2" s="37"/>
      <c r="K2" s="37"/>
      <c r="L2" s="33"/>
    </row>
    <row r="3" spans="1:33">
      <c r="A3" s="19"/>
      <c r="B3" s="38"/>
      <c r="C3" s="41" t="s">
        <v>73</v>
      </c>
      <c r="D3" s="42"/>
      <c r="E3" s="135">
        <v>24</v>
      </c>
      <c r="F3" s="136"/>
      <c r="G3" s="136"/>
      <c r="H3" s="137"/>
      <c r="I3" s="37"/>
      <c r="J3" s="37"/>
      <c r="K3" s="37"/>
      <c r="L3" s="33"/>
    </row>
    <row r="4" spans="1:33" ht="17" thickBot="1">
      <c r="A4" s="21"/>
      <c r="B4" s="39"/>
      <c r="C4" s="47" t="s">
        <v>71</v>
      </c>
      <c r="D4" s="48"/>
      <c r="E4" s="138">
        <v>270</v>
      </c>
      <c r="F4" s="139"/>
      <c r="G4" s="139"/>
      <c r="H4" s="140"/>
      <c r="I4" s="29"/>
      <c r="J4" s="29"/>
      <c r="K4" s="29"/>
      <c r="L4" s="35"/>
    </row>
    <row r="5" spans="1:33" ht="17" thickBot="1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33" ht="16" customHeight="1">
      <c r="A6" s="30" t="s">
        <v>70</v>
      </c>
      <c r="B6" s="85"/>
      <c r="C6" s="36" t="s">
        <v>2</v>
      </c>
      <c r="D6" s="23"/>
      <c r="E6" s="36" t="s">
        <v>3</v>
      </c>
      <c r="F6" s="23"/>
      <c r="G6" s="36" t="s">
        <v>4</v>
      </c>
      <c r="H6" s="23"/>
      <c r="I6" s="36" t="s">
        <v>5</v>
      </c>
      <c r="J6" s="23"/>
      <c r="K6" s="36" t="s">
        <v>6</v>
      </c>
      <c r="L6" s="23"/>
    </row>
    <row r="7" spans="1:33">
      <c r="A7" s="86"/>
      <c r="B7" s="87"/>
      <c r="C7" s="1" t="s">
        <v>0</v>
      </c>
      <c r="D7" s="15">
        <v>10.9</v>
      </c>
      <c r="E7" s="1" t="s">
        <v>0</v>
      </c>
      <c r="F7" s="2">
        <v>16.899999999999999</v>
      </c>
      <c r="G7" s="1" t="s">
        <v>0</v>
      </c>
      <c r="H7" s="2">
        <v>16</v>
      </c>
      <c r="I7" s="1" t="s">
        <v>0</v>
      </c>
      <c r="J7" s="2">
        <v>13.2</v>
      </c>
      <c r="K7" s="1" t="s">
        <v>0</v>
      </c>
      <c r="L7" s="2">
        <v>9.9</v>
      </c>
      <c r="N7">
        <f>D7</f>
        <v>10.9</v>
      </c>
      <c r="O7">
        <f>F7</f>
        <v>16.899999999999999</v>
      </c>
      <c r="P7">
        <f>H7</f>
        <v>16</v>
      </c>
      <c r="Q7">
        <f>J7</f>
        <v>13.2</v>
      </c>
      <c r="R7">
        <f>L7</f>
        <v>9.9</v>
      </c>
      <c r="S7">
        <f>D10</f>
        <v>9.8000000000000007</v>
      </c>
      <c r="T7">
        <f>F10</f>
        <v>8.5</v>
      </c>
      <c r="U7">
        <f>H10</f>
        <v>9</v>
      </c>
      <c r="V7">
        <f>J10</f>
        <v>10.8</v>
      </c>
      <c r="W7">
        <f>L10</f>
        <v>9.4</v>
      </c>
    </row>
    <row r="8" spans="1:33" ht="17" thickBot="1">
      <c r="A8" s="86"/>
      <c r="B8" s="87"/>
      <c r="C8" s="3" t="s">
        <v>1</v>
      </c>
      <c r="D8" s="16">
        <v>0</v>
      </c>
      <c r="E8" s="3" t="s">
        <v>1</v>
      </c>
      <c r="F8" s="4">
        <v>1</v>
      </c>
      <c r="G8" s="3" t="s">
        <v>1</v>
      </c>
      <c r="H8" s="4">
        <v>1</v>
      </c>
      <c r="I8" s="3" t="s">
        <v>1</v>
      </c>
      <c r="J8" s="4">
        <v>0</v>
      </c>
      <c r="K8" s="3" t="s">
        <v>1</v>
      </c>
      <c r="L8" s="4">
        <v>0</v>
      </c>
      <c r="N8">
        <f>D8</f>
        <v>0</v>
      </c>
      <c r="O8">
        <f>F8</f>
        <v>1</v>
      </c>
      <c r="P8">
        <f>H8</f>
        <v>1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1</v>
      </c>
    </row>
    <row r="9" spans="1:33">
      <c r="A9" s="86"/>
      <c r="B9" s="87"/>
      <c r="C9" s="36" t="s">
        <v>7</v>
      </c>
      <c r="D9" s="23"/>
      <c r="E9" s="36" t="s">
        <v>8</v>
      </c>
      <c r="F9" s="23"/>
      <c r="G9" s="36" t="s">
        <v>9</v>
      </c>
      <c r="H9" s="23"/>
      <c r="I9" s="36" t="s">
        <v>10</v>
      </c>
      <c r="J9" s="23"/>
      <c r="K9" s="36" t="s">
        <v>11</v>
      </c>
      <c r="L9" s="23"/>
    </row>
    <row r="10" spans="1:33">
      <c r="A10" s="86"/>
      <c r="B10" s="87"/>
      <c r="C10" s="1" t="s">
        <v>0</v>
      </c>
      <c r="D10" s="2">
        <v>9.8000000000000007</v>
      </c>
      <c r="E10" s="1" t="s">
        <v>0</v>
      </c>
      <c r="F10" s="2">
        <v>8.5</v>
      </c>
      <c r="G10" s="1" t="s">
        <v>0</v>
      </c>
      <c r="H10" s="2">
        <v>9</v>
      </c>
      <c r="I10" s="1" t="s">
        <v>0</v>
      </c>
      <c r="J10" s="2">
        <v>10.8</v>
      </c>
      <c r="K10" s="1" t="s">
        <v>0</v>
      </c>
      <c r="L10" s="2">
        <v>9.4</v>
      </c>
    </row>
    <row r="11" spans="1:33" ht="17" thickBot="1">
      <c r="A11" s="86"/>
      <c r="B11" s="87"/>
      <c r="C11" s="14" t="s">
        <v>1</v>
      </c>
      <c r="D11" s="13">
        <v>0</v>
      </c>
      <c r="E11" s="14" t="s">
        <v>1</v>
      </c>
      <c r="F11" s="13">
        <v>0</v>
      </c>
      <c r="G11" s="14" t="s">
        <v>1</v>
      </c>
      <c r="H11" s="13">
        <v>0</v>
      </c>
      <c r="I11" s="14" t="s">
        <v>1</v>
      </c>
      <c r="J11" s="13">
        <v>0</v>
      </c>
      <c r="K11" s="14" t="s">
        <v>1</v>
      </c>
      <c r="L11" s="13">
        <v>1</v>
      </c>
    </row>
    <row r="12" spans="1:33" ht="17" thickBot="1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33" ht="17" customHeight="1">
      <c r="A13" s="30" t="s">
        <v>69</v>
      </c>
      <c r="B13" s="85"/>
      <c r="C13" s="90" t="s">
        <v>2</v>
      </c>
      <c r="D13" s="91"/>
      <c r="E13" s="90" t="s">
        <v>3</v>
      </c>
      <c r="F13" s="91"/>
      <c r="G13" s="90" t="s">
        <v>4</v>
      </c>
      <c r="H13" s="91"/>
      <c r="I13" s="90" t="s">
        <v>5</v>
      </c>
      <c r="J13" s="91"/>
      <c r="K13" s="90" t="s">
        <v>6</v>
      </c>
      <c r="L13" s="91"/>
    </row>
    <row r="14" spans="1:33">
      <c r="A14" s="86"/>
      <c r="B14" s="87"/>
      <c r="C14" s="1" t="s">
        <v>0</v>
      </c>
      <c r="D14" s="2">
        <v>20.3</v>
      </c>
      <c r="E14" s="1" t="s">
        <v>0</v>
      </c>
      <c r="F14" s="2">
        <v>22.9</v>
      </c>
      <c r="G14" s="1" t="s">
        <v>0</v>
      </c>
      <c r="H14" s="2">
        <v>18.3</v>
      </c>
      <c r="I14" s="1" t="s">
        <v>0</v>
      </c>
      <c r="J14" s="2">
        <v>18.2</v>
      </c>
      <c r="K14" s="1" t="s">
        <v>0</v>
      </c>
      <c r="L14" s="2">
        <v>18.899999999999999</v>
      </c>
      <c r="N14">
        <f>D14</f>
        <v>20.3</v>
      </c>
      <c r="O14">
        <f>F14</f>
        <v>22.9</v>
      </c>
      <c r="P14">
        <f>H14</f>
        <v>18.3</v>
      </c>
      <c r="Q14">
        <f>J14</f>
        <v>18.2</v>
      </c>
      <c r="R14">
        <f>L14</f>
        <v>18.899999999999999</v>
      </c>
      <c r="S14">
        <f>D17</f>
        <v>13.8</v>
      </c>
      <c r="T14">
        <f>F17</f>
        <v>14.1</v>
      </c>
      <c r="U14">
        <f>H17</f>
        <v>24.1</v>
      </c>
      <c r="V14">
        <f>J17</f>
        <v>14.3</v>
      </c>
      <c r="W14">
        <f>L17</f>
        <v>15.6</v>
      </c>
      <c r="X14">
        <f>D20</f>
        <v>17.600000000000001</v>
      </c>
      <c r="Y14">
        <f>F20</f>
        <v>23.2</v>
      </c>
      <c r="Z14">
        <f>H20</f>
        <v>15.8</v>
      </c>
      <c r="AA14">
        <f>J20</f>
        <v>15.3</v>
      </c>
      <c r="AB14">
        <f>L20</f>
        <v>17.100000000000001</v>
      </c>
      <c r="AC14">
        <f>D23</f>
        <v>14.4</v>
      </c>
      <c r="AD14">
        <f>F23</f>
        <v>15.9</v>
      </c>
      <c r="AE14">
        <f>H23</f>
        <v>14.3</v>
      </c>
      <c r="AF14">
        <f>J23</f>
        <v>16.8</v>
      </c>
      <c r="AG14">
        <f>L23</f>
        <v>16.100000000000001</v>
      </c>
    </row>
    <row r="15" spans="1:33" ht="17" thickBot="1">
      <c r="A15" s="86"/>
      <c r="B15" s="87"/>
      <c r="C15" s="3" t="s">
        <v>1</v>
      </c>
      <c r="D15" s="4">
        <v>0</v>
      </c>
      <c r="E15" s="3" t="s">
        <v>1</v>
      </c>
      <c r="F15" s="4">
        <v>0</v>
      </c>
      <c r="G15" s="3" t="s">
        <v>1</v>
      </c>
      <c r="H15" s="4">
        <v>0</v>
      </c>
      <c r="I15" s="3" t="s">
        <v>1</v>
      </c>
      <c r="J15" s="4">
        <v>0</v>
      </c>
      <c r="K15" s="3" t="s">
        <v>1</v>
      </c>
      <c r="L15" s="4">
        <v>1</v>
      </c>
      <c r="N15">
        <f>D15</f>
        <v>0</v>
      </c>
      <c r="O15">
        <f>F15</f>
        <v>0</v>
      </c>
      <c r="P15">
        <f>H15</f>
        <v>0</v>
      </c>
      <c r="Q15">
        <f>J15</f>
        <v>0</v>
      </c>
      <c r="R15">
        <f>L15</f>
        <v>1</v>
      </c>
      <c r="S15">
        <f>D18</f>
        <v>0</v>
      </c>
      <c r="T15">
        <f>F18</f>
        <v>1</v>
      </c>
      <c r="U15">
        <f>H18</f>
        <v>1</v>
      </c>
      <c r="V15">
        <f>J18</f>
        <v>0</v>
      </c>
      <c r="W15">
        <f>L18</f>
        <v>0</v>
      </c>
      <c r="X15">
        <f>D21</f>
        <v>0</v>
      </c>
      <c r="Y15">
        <f>F21</f>
        <v>0</v>
      </c>
      <c r="Z15">
        <f>H21</f>
        <v>0</v>
      </c>
      <c r="AA15">
        <f>J21</f>
        <v>0</v>
      </c>
      <c r="AB15">
        <f>L21</f>
        <v>0</v>
      </c>
      <c r="AC15">
        <f>D24</f>
        <v>0</v>
      </c>
      <c r="AD15">
        <f>F24</f>
        <v>0</v>
      </c>
      <c r="AE15">
        <f>H24</f>
        <v>0</v>
      </c>
      <c r="AF15">
        <f>J24</f>
        <v>0</v>
      </c>
      <c r="AG15">
        <f>L24</f>
        <v>0</v>
      </c>
    </row>
    <row r="16" spans="1:33">
      <c r="A16" s="86"/>
      <c r="B16" s="87"/>
      <c r="C16" s="36" t="s">
        <v>7</v>
      </c>
      <c r="D16" s="23"/>
      <c r="E16" s="36" t="s">
        <v>8</v>
      </c>
      <c r="F16" s="23"/>
      <c r="G16" s="36" t="s">
        <v>9</v>
      </c>
      <c r="H16" s="23"/>
      <c r="I16" s="36" t="s">
        <v>10</v>
      </c>
      <c r="J16" s="23"/>
      <c r="K16" s="36" t="s">
        <v>11</v>
      </c>
      <c r="L16" s="23"/>
    </row>
    <row r="17" spans="1:12">
      <c r="A17" s="86"/>
      <c r="B17" s="87"/>
      <c r="C17" s="1" t="s">
        <v>0</v>
      </c>
      <c r="D17">
        <v>13.8</v>
      </c>
      <c r="E17" s="1" t="s">
        <v>0</v>
      </c>
      <c r="F17" s="2">
        <v>14.1</v>
      </c>
      <c r="G17" s="1" t="s">
        <v>0</v>
      </c>
      <c r="H17" s="2">
        <v>24.1</v>
      </c>
      <c r="I17" s="1" t="s">
        <v>0</v>
      </c>
      <c r="J17" s="2">
        <v>14.3</v>
      </c>
      <c r="K17" s="1" t="s">
        <v>0</v>
      </c>
      <c r="L17" s="2">
        <v>15.6</v>
      </c>
    </row>
    <row r="18" spans="1:12" ht="17" thickBot="1">
      <c r="A18" s="86"/>
      <c r="B18" s="87"/>
      <c r="C18" s="3" t="s">
        <v>1</v>
      </c>
      <c r="D18" s="4">
        <v>0</v>
      </c>
      <c r="E18" s="3" t="s">
        <v>1</v>
      </c>
      <c r="F18" s="4">
        <v>1</v>
      </c>
      <c r="G18" s="3" t="s">
        <v>1</v>
      </c>
      <c r="H18" s="4">
        <v>1</v>
      </c>
      <c r="I18" s="3" t="s">
        <v>1</v>
      </c>
      <c r="J18" s="4">
        <v>0</v>
      </c>
      <c r="K18" s="3" t="s">
        <v>1</v>
      </c>
      <c r="L18" s="4">
        <v>0</v>
      </c>
    </row>
    <row r="19" spans="1:12" ht="16" customHeight="1">
      <c r="A19" s="86"/>
      <c r="B19" s="87"/>
      <c r="C19" s="36" t="s">
        <v>12</v>
      </c>
      <c r="D19" s="23"/>
      <c r="E19" s="36" t="s">
        <v>13</v>
      </c>
      <c r="F19" s="23"/>
      <c r="G19" s="36" t="s">
        <v>14</v>
      </c>
      <c r="H19" s="23"/>
      <c r="I19" s="36" t="s">
        <v>15</v>
      </c>
      <c r="J19" s="23"/>
      <c r="K19" s="36" t="s">
        <v>16</v>
      </c>
      <c r="L19" s="23"/>
    </row>
    <row r="20" spans="1:12">
      <c r="A20" s="86"/>
      <c r="B20" s="87"/>
      <c r="C20" s="1" t="s">
        <v>0</v>
      </c>
      <c r="D20" s="2">
        <v>17.600000000000001</v>
      </c>
      <c r="E20" s="1" t="s">
        <v>0</v>
      </c>
      <c r="F20" s="2">
        <v>23.2</v>
      </c>
      <c r="G20" s="1" t="s">
        <v>0</v>
      </c>
      <c r="H20" s="2">
        <v>15.8</v>
      </c>
      <c r="I20" s="1" t="s">
        <v>0</v>
      </c>
      <c r="J20" s="2">
        <v>15.3</v>
      </c>
      <c r="K20" s="1" t="s">
        <v>0</v>
      </c>
      <c r="L20" s="2">
        <v>17.100000000000001</v>
      </c>
    </row>
    <row r="21" spans="1:12" ht="17" thickBot="1">
      <c r="A21" s="86"/>
      <c r="B21" s="87"/>
      <c r="C21" s="3" t="s">
        <v>1</v>
      </c>
      <c r="D21" s="4">
        <v>0</v>
      </c>
      <c r="E21" s="3" t="s">
        <v>1</v>
      </c>
      <c r="F21" s="4">
        <v>0</v>
      </c>
      <c r="G21" s="3" t="s">
        <v>1</v>
      </c>
      <c r="H21" s="4">
        <v>0</v>
      </c>
      <c r="I21" s="3" t="s">
        <v>1</v>
      </c>
      <c r="J21" s="4">
        <v>0</v>
      </c>
      <c r="K21" s="3" t="s">
        <v>1</v>
      </c>
      <c r="L21" s="4">
        <v>0</v>
      </c>
    </row>
    <row r="22" spans="1:12">
      <c r="A22" s="86"/>
      <c r="B22" s="87"/>
      <c r="C22" s="36" t="s">
        <v>17</v>
      </c>
      <c r="D22" s="23"/>
      <c r="E22" s="36" t="s">
        <v>18</v>
      </c>
      <c r="F22" s="23"/>
      <c r="G22" s="36" t="s">
        <v>19</v>
      </c>
      <c r="H22" s="23"/>
      <c r="I22" s="36" t="s">
        <v>20</v>
      </c>
      <c r="J22" s="23"/>
      <c r="K22" s="36" t="s">
        <v>21</v>
      </c>
      <c r="L22" s="23"/>
    </row>
    <row r="23" spans="1:12">
      <c r="A23" s="86"/>
      <c r="B23" s="87"/>
      <c r="C23" s="1" t="s">
        <v>0</v>
      </c>
      <c r="D23" s="2">
        <v>14.4</v>
      </c>
      <c r="E23" s="1" t="s">
        <v>0</v>
      </c>
      <c r="F23" s="2">
        <v>15.9</v>
      </c>
      <c r="G23" s="1" t="s">
        <v>0</v>
      </c>
      <c r="H23" s="2">
        <v>14.3</v>
      </c>
      <c r="I23" s="1" t="s">
        <v>0</v>
      </c>
      <c r="J23" s="2">
        <v>16.8</v>
      </c>
      <c r="K23" s="1" t="s">
        <v>0</v>
      </c>
      <c r="L23" s="2">
        <v>16.100000000000001</v>
      </c>
    </row>
    <row r="24" spans="1:12" ht="17" thickBot="1">
      <c r="A24" s="88"/>
      <c r="B24" s="89"/>
      <c r="C24" s="3" t="s">
        <v>1</v>
      </c>
      <c r="D24" s="4">
        <v>0</v>
      </c>
      <c r="E24" s="3" t="s">
        <v>1</v>
      </c>
      <c r="F24" s="4">
        <v>0</v>
      </c>
      <c r="G24" s="3" t="s">
        <v>1</v>
      </c>
      <c r="H24" s="4">
        <v>0</v>
      </c>
      <c r="I24" s="3" t="s">
        <v>1</v>
      </c>
      <c r="J24" s="4">
        <v>0</v>
      </c>
      <c r="K24" s="3" t="s">
        <v>1</v>
      </c>
      <c r="L24" s="4">
        <v>0</v>
      </c>
    </row>
  </sheetData>
  <mergeCells count="44">
    <mergeCell ref="A1:B4"/>
    <mergeCell ref="C1:D1"/>
    <mergeCell ref="C2:D2"/>
    <mergeCell ref="C3:D3"/>
    <mergeCell ref="C4:D4"/>
    <mergeCell ref="K9:L9"/>
    <mergeCell ref="A6:B11"/>
    <mergeCell ref="A12:L12"/>
    <mergeCell ref="A5:L5"/>
    <mergeCell ref="C6:D6"/>
    <mergeCell ref="E6:F6"/>
    <mergeCell ref="G6:H6"/>
    <mergeCell ref="I6:J6"/>
    <mergeCell ref="K6:L6"/>
    <mergeCell ref="C9:D9"/>
    <mergeCell ref="I9:J9"/>
    <mergeCell ref="E9:F9"/>
    <mergeCell ref="G9:H9"/>
    <mergeCell ref="K19:L19"/>
    <mergeCell ref="A13:B24"/>
    <mergeCell ref="K13:L13"/>
    <mergeCell ref="C16:D16"/>
    <mergeCell ref="E16:F16"/>
    <mergeCell ref="G16:H16"/>
    <mergeCell ref="I16:J16"/>
    <mergeCell ref="K16:L16"/>
    <mergeCell ref="C13:D13"/>
    <mergeCell ref="E13:F13"/>
    <mergeCell ref="G13:H13"/>
    <mergeCell ref="I13:J13"/>
    <mergeCell ref="C19:D19"/>
    <mergeCell ref="E19:F19"/>
    <mergeCell ref="G19:H19"/>
    <mergeCell ref="I19:J19"/>
    <mergeCell ref="I1:L4"/>
    <mergeCell ref="E1:H1"/>
    <mergeCell ref="E2:H2"/>
    <mergeCell ref="E3:H3"/>
    <mergeCell ref="E4:H4"/>
    <mergeCell ref="C22:D22"/>
    <mergeCell ref="E22:F22"/>
    <mergeCell ref="G22:H22"/>
    <mergeCell ref="I22:J22"/>
    <mergeCell ref="K22:L2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D32F-E25C-3440-BAD8-9BBEA7530967}">
  <dimension ref="A1:Z53"/>
  <sheetViews>
    <sheetView tabSelected="1" topLeftCell="K1" zoomScaleNormal="125" workbookViewId="0">
      <selection activeCell="V20" sqref="V20:V34"/>
    </sheetView>
  </sheetViews>
  <sheetFormatPr baseColWidth="10" defaultRowHeight="16"/>
  <sheetData>
    <row r="1" spans="1:2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6">
      <c r="B2">
        <f>LN(B1)</f>
        <v>0</v>
      </c>
      <c r="C2">
        <f t="shared" ref="C2:D2" si="0">LN(C1)</f>
        <v>0.69314718055994529</v>
      </c>
      <c r="D2">
        <f t="shared" si="0"/>
        <v>1.0986122886681098</v>
      </c>
      <c r="E2">
        <f t="shared" ref="E2:F2" si="1">LN(E1)</f>
        <v>1.3862943611198906</v>
      </c>
      <c r="F2">
        <f t="shared" si="1"/>
        <v>1.6094379124341003</v>
      </c>
      <c r="G2">
        <f t="shared" ref="G2:H2" si="2">LN(G1)</f>
        <v>1.791759469228055</v>
      </c>
      <c r="H2">
        <f t="shared" si="2"/>
        <v>1.9459101490553132</v>
      </c>
      <c r="I2">
        <f t="shared" ref="I2:J2" si="3">LN(I1)</f>
        <v>2.0794415416798357</v>
      </c>
      <c r="J2">
        <f t="shared" si="3"/>
        <v>2.1972245773362196</v>
      </c>
      <c r="K2">
        <f t="shared" ref="K2:L2" si="4">LN(K1)</f>
        <v>2.3025850929940459</v>
      </c>
      <c r="L2">
        <f t="shared" si="4"/>
        <v>2.3978952727983707</v>
      </c>
      <c r="M2">
        <f t="shared" ref="M2:N2" si="5">LN(M1)</f>
        <v>2.4849066497880004</v>
      </c>
      <c r="N2">
        <f t="shared" si="5"/>
        <v>2.5649493574615367</v>
      </c>
      <c r="O2">
        <f t="shared" ref="O2:P2" si="6">LN(O1)</f>
        <v>2.6390573296152584</v>
      </c>
      <c r="P2">
        <f t="shared" si="6"/>
        <v>2.7080502011022101</v>
      </c>
      <c r="Q2">
        <f t="shared" ref="Q2:R2" si="7">LN(Q1)</f>
        <v>2.7725887222397811</v>
      </c>
      <c r="R2">
        <f t="shared" si="7"/>
        <v>2.8332133440562162</v>
      </c>
      <c r="S2">
        <f t="shared" ref="S2:T2" si="8">LN(S1)</f>
        <v>2.8903717578961645</v>
      </c>
      <c r="T2">
        <f t="shared" si="8"/>
        <v>2.9444389791664403</v>
      </c>
      <c r="U2">
        <f>LN(U1)</f>
        <v>2.9957322735539909</v>
      </c>
      <c r="X2" t="s">
        <v>108</v>
      </c>
      <c r="Y2" t="s">
        <v>109</v>
      </c>
    </row>
    <row r="3" spans="1:26">
      <c r="A3" t="s">
        <v>87</v>
      </c>
      <c r="B3">
        <v>15.3</v>
      </c>
      <c r="C3">
        <v>14.4</v>
      </c>
      <c r="D3">
        <v>10.7</v>
      </c>
      <c r="E3">
        <v>13</v>
      </c>
      <c r="F3">
        <v>11.2</v>
      </c>
      <c r="G3">
        <v>10.199999999999999</v>
      </c>
      <c r="H3">
        <v>11.2</v>
      </c>
      <c r="I3">
        <v>10.8</v>
      </c>
      <c r="J3">
        <v>11</v>
      </c>
      <c r="K3">
        <v>9.3000000000000007</v>
      </c>
      <c r="L3">
        <v>10.199999999999999</v>
      </c>
      <c r="M3">
        <v>10.4</v>
      </c>
      <c r="N3">
        <v>9.8000000000000007</v>
      </c>
      <c r="O3">
        <v>11</v>
      </c>
      <c r="P3">
        <v>10.199999999999999</v>
      </c>
      <c r="Q3">
        <v>9.6</v>
      </c>
      <c r="R3">
        <v>9.9</v>
      </c>
      <c r="S3">
        <v>9.5</v>
      </c>
      <c r="T3">
        <v>8</v>
      </c>
      <c r="U3">
        <v>9.4</v>
      </c>
      <c r="V3" cm="1">
        <f t="array" ref="V3:W3">LINEST(B3:U3,$B$2:$U$2)</f>
        <v>-1.8721433576094018</v>
      </c>
      <c r="W3">
        <v>14.717917157364946</v>
      </c>
      <c r="X3">
        <f>V3*LN(20)+W3</f>
        <v>9.1094768802547303</v>
      </c>
      <c r="Y3">
        <f>X3/6</f>
        <v>1.5182461467091217</v>
      </c>
      <c r="Z3" t="s">
        <v>34</v>
      </c>
    </row>
    <row r="4" spans="1:26">
      <c r="A4" t="s">
        <v>88</v>
      </c>
      <c r="B4" s="5">
        <v>25.9</v>
      </c>
      <c r="C4" s="5">
        <v>27.1</v>
      </c>
      <c r="D4" s="5">
        <v>24.1</v>
      </c>
      <c r="E4" s="5">
        <v>23.7</v>
      </c>
      <c r="F4" s="5">
        <v>19.899999999999999</v>
      </c>
      <c r="G4" s="5">
        <v>21.9</v>
      </c>
      <c r="H4" s="5">
        <v>17.8</v>
      </c>
      <c r="I4" s="5">
        <v>19.899999999999999</v>
      </c>
      <c r="J4" s="5">
        <v>20.9</v>
      </c>
      <c r="K4" s="5">
        <v>16.399999999999999</v>
      </c>
      <c r="L4">
        <v>22.4</v>
      </c>
      <c r="M4">
        <v>15</v>
      </c>
      <c r="N4">
        <v>15.8</v>
      </c>
      <c r="O4">
        <v>15</v>
      </c>
      <c r="P4">
        <v>14.4</v>
      </c>
      <c r="Q4">
        <v>17</v>
      </c>
      <c r="R4">
        <v>15.6</v>
      </c>
      <c r="S4">
        <v>18.2</v>
      </c>
      <c r="T4">
        <v>16.2</v>
      </c>
      <c r="U4">
        <v>14.9</v>
      </c>
      <c r="V4" cm="1">
        <f t="array" ref="V4:W4">LINEST(B4:U4,$B$2:$U$2)</f>
        <v>-4.2526224337743326</v>
      </c>
      <c r="W4">
        <v>28.106869615433304</v>
      </c>
      <c r="X4">
        <f t="shared" ref="X4:X17" si="9">V4*LN(20)+W4</f>
        <v>15.367151343335816</v>
      </c>
      <c r="Y4">
        <f t="shared" ref="Y4:Y17" si="10">X4/6</f>
        <v>2.5611918905559694</v>
      </c>
      <c r="Z4" t="s">
        <v>30</v>
      </c>
    </row>
    <row r="5" spans="1:26">
      <c r="A5" t="s">
        <v>89</v>
      </c>
      <c r="B5" s="5">
        <v>18.2</v>
      </c>
      <c r="C5" s="5">
        <v>14.4</v>
      </c>
      <c r="D5" s="5">
        <v>12.7</v>
      </c>
      <c r="E5" s="5">
        <v>11</v>
      </c>
      <c r="F5" s="5">
        <v>11.6</v>
      </c>
      <c r="G5" s="5">
        <v>11.9</v>
      </c>
      <c r="H5" s="5">
        <v>12.9</v>
      </c>
      <c r="I5" s="5">
        <v>11.7</v>
      </c>
      <c r="J5" s="5">
        <v>13.2</v>
      </c>
      <c r="K5" s="5">
        <v>11</v>
      </c>
      <c r="L5">
        <v>12.1</v>
      </c>
      <c r="M5">
        <v>16</v>
      </c>
      <c r="N5">
        <v>10.8</v>
      </c>
      <c r="O5">
        <v>12.1</v>
      </c>
      <c r="P5">
        <v>10.5</v>
      </c>
      <c r="Q5">
        <v>11.6</v>
      </c>
      <c r="R5">
        <v>9.9</v>
      </c>
      <c r="S5">
        <v>11</v>
      </c>
      <c r="T5">
        <v>13.5</v>
      </c>
      <c r="U5">
        <v>11.1</v>
      </c>
      <c r="V5" cm="1">
        <f t="array" ref="V5:W5">LINEST(B5:U5,$B$2:$U$2)</f>
        <v>-1.4726648150763493</v>
      </c>
      <c r="W5">
        <v>15.47730863931594</v>
      </c>
      <c r="X5">
        <f t="shared" si="9"/>
        <v>11.065599124664299</v>
      </c>
      <c r="Y5">
        <f t="shared" si="10"/>
        <v>1.8442665207773832</v>
      </c>
      <c r="Z5" t="s">
        <v>29</v>
      </c>
    </row>
    <row r="6" spans="1:26">
      <c r="A6" t="s">
        <v>90</v>
      </c>
      <c r="B6" s="5">
        <v>22.9</v>
      </c>
      <c r="C6" s="5">
        <v>18.7</v>
      </c>
      <c r="D6" s="5">
        <v>15.2</v>
      </c>
      <c r="E6" s="5">
        <v>19.7</v>
      </c>
      <c r="F6" s="5">
        <v>18</v>
      </c>
      <c r="G6" s="5">
        <v>18.399999999999999</v>
      </c>
      <c r="H6" s="5">
        <v>20.5</v>
      </c>
      <c r="I6" s="5">
        <v>21.3</v>
      </c>
      <c r="J6" s="5">
        <v>19.2</v>
      </c>
      <c r="K6" s="5">
        <v>14.7</v>
      </c>
      <c r="L6">
        <v>15.8</v>
      </c>
      <c r="M6">
        <v>15.3</v>
      </c>
      <c r="N6">
        <v>15.2</v>
      </c>
      <c r="O6">
        <v>14.7</v>
      </c>
      <c r="P6">
        <v>14.9</v>
      </c>
      <c r="Q6">
        <v>18.7</v>
      </c>
      <c r="R6">
        <v>21.8</v>
      </c>
      <c r="S6">
        <v>14.2</v>
      </c>
      <c r="T6">
        <v>16</v>
      </c>
      <c r="U6">
        <v>14.2</v>
      </c>
      <c r="V6" cm="1">
        <f t="array" ref="V6:W6">LINEST(B6:U6,$B$2:$U$2)</f>
        <v>-1.7637247203072837</v>
      </c>
      <c r="W6">
        <v>21.203418665063943</v>
      </c>
      <c r="X6">
        <f t="shared" si="9"/>
        <v>15.919771598774428</v>
      </c>
      <c r="Y6">
        <f t="shared" si="10"/>
        <v>2.6532952664624045</v>
      </c>
      <c r="Z6" t="s">
        <v>31</v>
      </c>
    </row>
    <row r="7" spans="1:26">
      <c r="A7" t="s">
        <v>91</v>
      </c>
      <c r="B7">
        <v>18.100000000000001</v>
      </c>
      <c r="C7">
        <v>17.2</v>
      </c>
      <c r="D7">
        <v>13</v>
      </c>
      <c r="E7">
        <v>13</v>
      </c>
      <c r="F7">
        <v>13.2</v>
      </c>
      <c r="G7">
        <v>16.100000000000001</v>
      </c>
      <c r="H7">
        <v>11.9</v>
      </c>
      <c r="I7">
        <v>12.2</v>
      </c>
      <c r="J7">
        <v>11.6</v>
      </c>
      <c r="K7">
        <v>10.8</v>
      </c>
      <c r="L7">
        <v>10.7</v>
      </c>
      <c r="M7">
        <v>12.3</v>
      </c>
      <c r="N7">
        <v>10.1</v>
      </c>
      <c r="O7">
        <v>11.9</v>
      </c>
      <c r="P7">
        <v>11.2</v>
      </c>
      <c r="Q7">
        <v>15.1</v>
      </c>
      <c r="R7">
        <v>10.6</v>
      </c>
      <c r="S7">
        <v>11</v>
      </c>
      <c r="T7">
        <v>10.7</v>
      </c>
      <c r="U7">
        <v>11.4</v>
      </c>
      <c r="V7" cm="1">
        <f t="array" ref="V7:W7">LINEST(B7:U7,$B$2:$U$2)</f>
        <v>-2.1697634081528268</v>
      </c>
      <c r="W7">
        <v>17.197913572906771</v>
      </c>
      <c r="X7">
        <f t="shared" si="9"/>
        <v>10.697883305126847</v>
      </c>
      <c r="Y7">
        <f t="shared" si="10"/>
        <v>1.7829805508544745</v>
      </c>
      <c r="Z7" t="s">
        <v>32</v>
      </c>
    </row>
    <row r="8" spans="1:26">
      <c r="A8" t="s">
        <v>92</v>
      </c>
      <c r="B8">
        <v>18.2</v>
      </c>
      <c r="C8">
        <v>16.600000000000001</v>
      </c>
      <c r="D8">
        <v>15.5</v>
      </c>
      <c r="E8">
        <v>18.100000000000001</v>
      </c>
      <c r="F8" s="5">
        <v>12.1</v>
      </c>
      <c r="G8">
        <v>12.8</v>
      </c>
      <c r="H8">
        <v>12.3</v>
      </c>
      <c r="I8">
        <v>10.6</v>
      </c>
      <c r="J8">
        <v>10.4</v>
      </c>
      <c r="K8">
        <v>11.3</v>
      </c>
      <c r="L8">
        <v>9.6999999999999993</v>
      </c>
      <c r="M8">
        <v>9.5</v>
      </c>
      <c r="N8">
        <v>10.199999999999999</v>
      </c>
      <c r="O8">
        <v>9.6999999999999993</v>
      </c>
      <c r="P8">
        <v>10</v>
      </c>
      <c r="Q8">
        <v>10.9</v>
      </c>
      <c r="R8">
        <v>12.1</v>
      </c>
      <c r="S8">
        <v>9.4</v>
      </c>
      <c r="T8">
        <v>10.1</v>
      </c>
      <c r="U8">
        <v>9.9</v>
      </c>
      <c r="V8" cm="1">
        <f t="array" ref="V8:W8">LINEST(B8:U8,$B$2:$U$2)</f>
        <v>-3.1154621087320233</v>
      </c>
      <c r="W8">
        <v>18.564750446664458</v>
      </c>
      <c r="X8">
        <f t="shared" si="9"/>
        <v>9.2316600605013637</v>
      </c>
      <c r="Y8">
        <f t="shared" si="10"/>
        <v>1.5386100100835607</v>
      </c>
      <c r="Z8" t="s">
        <v>33</v>
      </c>
    </row>
    <row r="9" spans="1:26">
      <c r="A9" t="s">
        <v>93</v>
      </c>
      <c r="B9">
        <v>20.5</v>
      </c>
      <c r="C9">
        <v>28.3</v>
      </c>
      <c r="D9">
        <v>14.5</v>
      </c>
      <c r="E9">
        <v>16.100000000000001</v>
      </c>
      <c r="F9">
        <v>22.5</v>
      </c>
      <c r="G9">
        <v>24.6</v>
      </c>
      <c r="H9" s="5">
        <v>13.4</v>
      </c>
      <c r="I9" s="5">
        <v>18.600000000000001</v>
      </c>
      <c r="J9">
        <v>21.5</v>
      </c>
      <c r="K9">
        <v>15.4</v>
      </c>
      <c r="L9">
        <v>17.5</v>
      </c>
      <c r="M9">
        <v>20.2</v>
      </c>
      <c r="N9">
        <v>15.3</v>
      </c>
      <c r="O9">
        <v>14.7</v>
      </c>
      <c r="P9">
        <v>19.600000000000001</v>
      </c>
      <c r="Q9">
        <v>13.8</v>
      </c>
      <c r="R9">
        <v>16</v>
      </c>
      <c r="S9">
        <v>15</v>
      </c>
      <c r="T9">
        <v>17.899999999999999</v>
      </c>
      <c r="U9">
        <v>14.3</v>
      </c>
      <c r="V9" cm="1">
        <f t="array" ref="V9:W9">LINEST(B9:U9,$B$2:$U$2)</f>
        <v>-2.3930059489080278</v>
      </c>
      <c r="W9">
        <v>23.050469102063587</v>
      </c>
      <c r="X9">
        <f t="shared" si="9"/>
        <v>15.881663950113115</v>
      </c>
      <c r="Y9">
        <f t="shared" si="10"/>
        <v>2.6469439916855193</v>
      </c>
      <c r="Z9" t="s">
        <v>35</v>
      </c>
    </row>
    <row r="10" spans="1:26">
      <c r="A10" t="s">
        <v>94</v>
      </c>
      <c r="B10" s="5">
        <v>21</v>
      </c>
      <c r="C10" s="5">
        <v>23.2</v>
      </c>
      <c r="D10" s="5">
        <v>20</v>
      </c>
      <c r="E10" s="5">
        <v>17.2</v>
      </c>
      <c r="F10" s="5">
        <v>17.7</v>
      </c>
      <c r="G10" s="5">
        <v>24.3</v>
      </c>
      <c r="H10" s="5">
        <v>18</v>
      </c>
      <c r="I10" s="5">
        <v>19.2</v>
      </c>
      <c r="J10" s="5">
        <v>17.7</v>
      </c>
      <c r="K10" s="5">
        <v>18.600000000000001</v>
      </c>
      <c r="L10" s="5">
        <v>17.8</v>
      </c>
      <c r="M10" s="5">
        <v>20.399999999999999</v>
      </c>
      <c r="N10" s="5">
        <v>16.399999999999999</v>
      </c>
      <c r="O10" s="5">
        <v>18.2</v>
      </c>
      <c r="P10" s="5">
        <v>17.5</v>
      </c>
      <c r="Q10" s="5">
        <v>17.399999999999999</v>
      </c>
      <c r="R10" s="5">
        <v>18.2</v>
      </c>
      <c r="S10" s="5">
        <v>16.899999999999999</v>
      </c>
      <c r="T10" s="5">
        <v>16.899999999999999</v>
      </c>
      <c r="U10" s="5">
        <v>17.899999999999999</v>
      </c>
      <c r="V10" cm="1">
        <f t="array" ref="V10:W10">LINEST(B10:U10,$B$2:$U$2)</f>
        <v>-1.5330056011629944</v>
      </c>
      <c r="W10">
        <v>21.970036858151161</v>
      </c>
      <c r="X10">
        <f t="shared" si="9"/>
        <v>17.377562503208139</v>
      </c>
      <c r="Y10">
        <f t="shared" si="10"/>
        <v>2.8962604172013564</v>
      </c>
      <c r="Z10" t="s">
        <v>36</v>
      </c>
    </row>
    <row r="11" spans="1:26">
      <c r="A11" t="s">
        <v>95</v>
      </c>
      <c r="B11">
        <v>17.600000000000001</v>
      </c>
      <c r="C11">
        <v>17.3</v>
      </c>
      <c r="D11">
        <v>13.7</v>
      </c>
      <c r="E11">
        <v>15.9</v>
      </c>
      <c r="F11">
        <v>12.8</v>
      </c>
      <c r="G11">
        <v>16.3</v>
      </c>
      <c r="H11">
        <v>16.899999999999999</v>
      </c>
      <c r="I11">
        <v>14.4</v>
      </c>
      <c r="J11">
        <v>15.4</v>
      </c>
      <c r="K11">
        <v>13.1</v>
      </c>
      <c r="L11">
        <v>13</v>
      </c>
      <c r="M11">
        <v>11.3</v>
      </c>
      <c r="N11">
        <v>13.9</v>
      </c>
      <c r="O11">
        <v>12.3</v>
      </c>
      <c r="P11">
        <v>16.399999999999999</v>
      </c>
      <c r="Q11">
        <v>10.1</v>
      </c>
      <c r="R11">
        <v>13.5</v>
      </c>
      <c r="S11">
        <v>14</v>
      </c>
      <c r="T11">
        <v>12.5</v>
      </c>
      <c r="U11">
        <v>12.3</v>
      </c>
      <c r="V11" cm="1">
        <f t="array" ref="V11:W11">LINEST(B11:U11,$B$2:$U$2)</f>
        <v>-1.6371075162830386</v>
      </c>
      <c r="W11">
        <v>17.600397795718774</v>
      </c>
      <c r="X11">
        <f t="shared" si="9"/>
        <v>12.69606197391186</v>
      </c>
      <c r="Y11">
        <f t="shared" si="10"/>
        <v>2.1160103289853098</v>
      </c>
      <c r="Z11" t="s">
        <v>68</v>
      </c>
    </row>
    <row r="12" spans="1:26">
      <c r="A12" t="s">
        <v>96</v>
      </c>
      <c r="B12">
        <v>23.6</v>
      </c>
      <c r="C12">
        <v>22.2</v>
      </c>
      <c r="D12">
        <v>18.600000000000001</v>
      </c>
      <c r="E12">
        <v>22</v>
      </c>
      <c r="F12">
        <v>18.5</v>
      </c>
      <c r="G12">
        <v>15.3</v>
      </c>
      <c r="H12">
        <v>18.7</v>
      </c>
      <c r="I12">
        <v>15.6</v>
      </c>
      <c r="J12">
        <v>16.2</v>
      </c>
      <c r="K12">
        <v>17.7</v>
      </c>
      <c r="L12">
        <v>14.1</v>
      </c>
      <c r="M12">
        <v>14.1</v>
      </c>
      <c r="N12">
        <v>15.7</v>
      </c>
      <c r="O12">
        <v>14.1</v>
      </c>
      <c r="P12">
        <v>12.4</v>
      </c>
      <c r="Q12">
        <v>14.2</v>
      </c>
      <c r="R12">
        <v>11.9</v>
      </c>
      <c r="S12">
        <v>13.3</v>
      </c>
      <c r="T12">
        <v>12.5</v>
      </c>
      <c r="U12">
        <v>12</v>
      </c>
      <c r="V12" cm="1">
        <f t="array" ref="V12:W12">LINEST(B12:U12,$B$2:$U$2)</f>
        <v>-4.0007493497189817</v>
      </c>
      <c r="W12">
        <v>24.603709501265584</v>
      </c>
      <c r="X12">
        <f t="shared" si="9"/>
        <v>12.618535555912288</v>
      </c>
      <c r="Y12">
        <f t="shared" si="10"/>
        <v>2.1030892593187147</v>
      </c>
      <c r="Z12" t="s">
        <v>78</v>
      </c>
    </row>
    <row r="13" spans="1:26">
      <c r="A13" t="s">
        <v>97</v>
      </c>
      <c r="B13">
        <v>20.100000000000001</v>
      </c>
      <c r="C13">
        <v>20.399999999999999</v>
      </c>
      <c r="D13">
        <v>19.100000000000001</v>
      </c>
      <c r="E13">
        <v>17.3</v>
      </c>
      <c r="F13">
        <v>22</v>
      </c>
      <c r="G13">
        <v>21</v>
      </c>
      <c r="H13">
        <v>19</v>
      </c>
      <c r="I13">
        <v>17.399999999999999</v>
      </c>
      <c r="J13">
        <v>22.8</v>
      </c>
      <c r="K13">
        <v>15.8</v>
      </c>
      <c r="L13">
        <v>16.7</v>
      </c>
      <c r="M13">
        <v>20.5</v>
      </c>
      <c r="N13">
        <v>18.399999999999999</v>
      </c>
      <c r="O13">
        <v>16.7</v>
      </c>
      <c r="P13">
        <v>17.5</v>
      </c>
      <c r="Q13">
        <v>16.7</v>
      </c>
      <c r="R13">
        <v>18.899999999999999</v>
      </c>
      <c r="S13">
        <v>15.5</v>
      </c>
      <c r="T13">
        <v>16.2</v>
      </c>
      <c r="U13">
        <v>17.100000000000001</v>
      </c>
      <c r="V13" cm="1">
        <f t="array" ref="V13:W13">LINEST(B13:U13,$B$2:$U$2)</f>
        <v>-1.2995847205536442</v>
      </c>
      <c r="W13">
        <v>21.205936014380733</v>
      </c>
      <c r="X13">
        <f t="shared" si="9"/>
        <v>17.312728124800536</v>
      </c>
      <c r="Y13">
        <f t="shared" si="10"/>
        <v>2.8854546874667562</v>
      </c>
      <c r="Z13" t="s">
        <v>79</v>
      </c>
    </row>
    <row r="14" spans="1:26">
      <c r="A14" t="s">
        <v>98</v>
      </c>
      <c r="B14">
        <v>28</v>
      </c>
      <c r="C14">
        <v>23.9</v>
      </c>
      <c r="D14">
        <v>23.7</v>
      </c>
      <c r="E14">
        <v>25.5</v>
      </c>
      <c r="F14">
        <v>19.2</v>
      </c>
      <c r="G14">
        <v>19.100000000000001</v>
      </c>
      <c r="H14">
        <v>20.100000000000001</v>
      </c>
      <c r="I14">
        <v>21.2</v>
      </c>
      <c r="J14">
        <v>20.2</v>
      </c>
      <c r="K14">
        <v>20.399999999999999</v>
      </c>
      <c r="L14">
        <v>19.7</v>
      </c>
      <c r="M14">
        <v>20.7</v>
      </c>
      <c r="N14">
        <v>22.3</v>
      </c>
      <c r="O14">
        <v>18.3</v>
      </c>
      <c r="P14">
        <v>16.899999999999999</v>
      </c>
      <c r="Q14">
        <v>16.899999999999999</v>
      </c>
      <c r="R14">
        <v>15.6</v>
      </c>
      <c r="S14">
        <v>15.2</v>
      </c>
      <c r="T14">
        <v>13.2</v>
      </c>
      <c r="U14">
        <v>13.4</v>
      </c>
      <c r="V14" cm="1">
        <f t="array" ref="V14:W14">LINEST(B14:U14,$B$2:$U$2)</f>
        <v>-4.0948734609384498</v>
      </c>
      <c r="W14">
        <v>28.342949614880418</v>
      </c>
      <c r="X14">
        <f t="shared" si="9"/>
        <v>16.075805031827375</v>
      </c>
      <c r="Y14">
        <f t="shared" si="10"/>
        <v>2.679300838637896</v>
      </c>
      <c r="Z14" t="s">
        <v>80</v>
      </c>
    </row>
    <row r="15" spans="1:26">
      <c r="A15" t="s">
        <v>99</v>
      </c>
      <c r="B15">
        <v>26</v>
      </c>
      <c r="C15">
        <v>21</v>
      </c>
      <c r="D15">
        <v>15.7</v>
      </c>
      <c r="E15">
        <v>24</v>
      </c>
      <c r="F15">
        <v>23.1</v>
      </c>
      <c r="G15">
        <v>21.7</v>
      </c>
      <c r="H15">
        <v>21.4</v>
      </c>
      <c r="I15">
        <v>19.2</v>
      </c>
      <c r="J15">
        <v>17.100000000000001</v>
      </c>
      <c r="K15">
        <v>18.399999999999999</v>
      </c>
      <c r="L15">
        <v>18.7</v>
      </c>
      <c r="M15">
        <v>16.399999999999999</v>
      </c>
      <c r="N15">
        <v>15.5</v>
      </c>
      <c r="O15">
        <v>17.3</v>
      </c>
      <c r="P15">
        <v>18.600000000000001</v>
      </c>
      <c r="Q15">
        <v>17</v>
      </c>
      <c r="R15">
        <v>15.5</v>
      </c>
      <c r="S15">
        <v>16.2</v>
      </c>
      <c r="T15">
        <v>16.2</v>
      </c>
      <c r="U15">
        <v>15.6</v>
      </c>
      <c r="V15" cm="1">
        <f t="array" ref="V15:W15">LINEST(B15:U15,$B$2:$U$2)</f>
        <v>-2.9182147758135395</v>
      </c>
      <c r="W15">
        <v>24.907221074947287</v>
      </c>
      <c r="X15">
        <f t="shared" si="9"/>
        <v>16.165030889880541</v>
      </c>
      <c r="Y15">
        <f t="shared" si="10"/>
        <v>2.69417181498009</v>
      </c>
      <c r="Z15" t="s">
        <v>81</v>
      </c>
    </row>
    <row r="16" spans="1:26">
      <c r="A16" t="s">
        <v>100</v>
      </c>
      <c r="B16">
        <v>20.3</v>
      </c>
      <c r="C16">
        <v>22.9</v>
      </c>
      <c r="D16">
        <v>18.3</v>
      </c>
      <c r="E16">
        <v>18.2</v>
      </c>
      <c r="F16">
        <v>18.899999999999999</v>
      </c>
      <c r="G16">
        <v>13.8</v>
      </c>
      <c r="H16">
        <v>14.1</v>
      </c>
      <c r="I16">
        <v>24.1</v>
      </c>
      <c r="J16">
        <v>14.3</v>
      </c>
      <c r="K16">
        <v>15.6</v>
      </c>
      <c r="L16">
        <v>17.600000000000001</v>
      </c>
      <c r="M16">
        <v>23.2</v>
      </c>
      <c r="N16">
        <v>15.8</v>
      </c>
      <c r="O16">
        <v>15.3</v>
      </c>
      <c r="P16">
        <v>17.100000000000001</v>
      </c>
      <c r="Q16">
        <v>14.4</v>
      </c>
      <c r="R16">
        <v>15.9</v>
      </c>
      <c r="S16">
        <v>14.3</v>
      </c>
      <c r="T16">
        <v>16.8</v>
      </c>
      <c r="U16">
        <v>16.100000000000001</v>
      </c>
      <c r="V16" cm="1">
        <f t="array" ref="V16:W16">LINEST(B16:U16,$B$2:$U$2)</f>
        <v>-1.7697675970075728</v>
      </c>
      <c r="W16">
        <v>21.096210110579097</v>
      </c>
      <c r="X16">
        <f t="shared" si="9"/>
        <v>15.794460203533419</v>
      </c>
      <c r="Y16">
        <f t="shared" si="10"/>
        <v>2.6324100339222363</v>
      </c>
      <c r="Z16" t="s">
        <v>85</v>
      </c>
    </row>
    <row r="17" spans="1:26">
      <c r="A17" t="s">
        <v>101</v>
      </c>
      <c r="B17">
        <v>31.1</v>
      </c>
      <c r="C17">
        <v>27</v>
      </c>
      <c r="D17">
        <v>22.4</v>
      </c>
      <c r="E17">
        <v>25.8</v>
      </c>
      <c r="F17">
        <v>26.1</v>
      </c>
      <c r="G17">
        <v>21.2</v>
      </c>
      <c r="H17">
        <v>19.8</v>
      </c>
      <c r="I17" s="5">
        <v>20</v>
      </c>
      <c r="J17" s="5">
        <v>22.9</v>
      </c>
      <c r="K17">
        <v>17.2</v>
      </c>
      <c r="L17">
        <v>16.5</v>
      </c>
      <c r="M17">
        <v>24.4</v>
      </c>
      <c r="N17">
        <v>17</v>
      </c>
      <c r="O17">
        <v>17.3</v>
      </c>
      <c r="P17">
        <v>19.399999999999999</v>
      </c>
      <c r="Q17">
        <v>18.899999999999999</v>
      </c>
      <c r="R17">
        <v>18.899999999999999</v>
      </c>
      <c r="S17">
        <v>17</v>
      </c>
      <c r="T17">
        <v>20.100000000000001</v>
      </c>
      <c r="U17">
        <v>19.2</v>
      </c>
      <c r="V17" cm="1">
        <f t="array" ref="V17:W17">LINEST(B17:U17,$B$2:$U$2)</f>
        <v>-4.0482709710614078</v>
      </c>
      <c r="W17">
        <v>29.679302358002886</v>
      </c>
      <c r="X17">
        <f t="shared" si="9"/>
        <v>17.551766357902473</v>
      </c>
      <c r="Y17">
        <f t="shared" si="10"/>
        <v>2.9252943929837456</v>
      </c>
      <c r="Z17" t="s">
        <v>86</v>
      </c>
    </row>
    <row r="19" spans="1:26">
      <c r="U19" t="s">
        <v>110</v>
      </c>
      <c r="V19" t="s">
        <v>111</v>
      </c>
    </row>
    <row r="20" spans="1:26">
      <c r="U20">
        <v>1.5182461467091217</v>
      </c>
      <c r="V20">
        <v>1.2058227970324529</v>
      </c>
    </row>
    <row r="21" spans="1:26">
      <c r="U21">
        <v>2.5611918905559694</v>
      </c>
      <c r="V21">
        <v>1.6121226127894162</v>
      </c>
    </row>
    <row r="22" spans="1:26">
      <c r="U22">
        <v>1.8442665207773832</v>
      </c>
      <c r="V22">
        <v>2.27995344073822</v>
      </c>
    </row>
    <row r="23" spans="1:26">
      <c r="U23">
        <v>2.6532952664624045</v>
      </c>
      <c r="V23">
        <v>1.3136689453691528</v>
      </c>
    </row>
    <row r="24" spans="1:26">
      <c r="U24">
        <v>1.7829805508544745</v>
      </c>
      <c r="V24">
        <v>1.824850108507853</v>
      </c>
    </row>
    <row r="25" spans="1:26">
      <c r="U25">
        <v>1.5386100100835607</v>
      </c>
      <c r="V25">
        <v>1.7830101462604964</v>
      </c>
    </row>
    <row r="26" spans="1:26">
      <c r="U26">
        <v>2.6469439916855193</v>
      </c>
      <c r="V26">
        <v>1.9609118102907945</v>
      </c>
    </row>
    <row r="27" spans="1:26">
      <c r="U27">
        <v>2.8962604172013564</v>
      </c>
      <c r="V27">
        <v>1.9685005316864412</v>
      </c>
    </row>
    <row r="28" spans="1:26">
      <c r="U28">
        <v>2.1160103289853098</v>
      </c>
      <c r="V28">
        <v>2.0001530713832976</v>
      </c>
    </row>
    <row r="29" spans="1:26">
      <c r="U29">
        <v>2.1030892593187147</v>
      </c>
      <c r="V29">
        <v>1.2692929178642371</v>
      </c>
    </row>
    <row r="30" spans="1:26">
      <c r="U30">
        <v>2.8854546874667562</v>
      </c>
      <c r="V30">
        <v>2.0003178948096307</v>
      </c>
    </row>
    <row r="31" spans="1:26">
      <c r="U31">
        <v>2.679300838637896</v>
      </c>
      <c r="V31">
        <v>1.7473907855226432</v>
      </c>
    </row>
    <row r="32" spans="1:26">
      <c r="U32">
        <v>2.69417181498009</v>
      </c>
      <c r="V32">
        <v>1.860958523685603</v>
      </c>
    </row>
    <row r="33" spans="2:22">
      <c r="U33">
        <v>2.6324100339222363</v>
      </c>
      <c r="V33">
        <v>2.4062130715538532</v>
      </c>
    </row>
    <row r="34" spans="2:22">
      <c r="U34">
        <v>2.9252943929837456</v>
      </c>
      <c r="V34">
        <v>1.6313563403793219</v>
      </c>
    </row>
    <row r="40" spans="2:22"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f>SUM(B40:U40)/180</f>
        <v>1.1111111111111112E-2</v>
      </c>
    </row>
    <row r="41" spans="2:22"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f t="shared" ref="V41:V53" si="11">SUM(B41:U41)/180</f>
        <v>2.2222222222222223E-2</v>
      </c>
    </row>
    <row r="42" spans="2:22">
      <c r="B42">
        <v>2</v>
      </c>
      <c r="C42">
        <v>0</v>
      </c>
      <c r="D42">
        <v>1</v>
      </c>
      <c r="E42">
        <v>1</v>
      </c>
      <c r="F42">
        <v>2</v>
      </c>
      <c r="G42">
        <v>3</v>
      </c>
      <c r="H42">
        <v>1</v>
      </c>
      <c r="I42">
        <v>0</v>
      </c>
      <c r="J42">
        <v>0</v>
      </c>
      <c r="K42">
        <v>2</v>
      </c>
      <c r="L42">
        <v>1</v>
      </c>
      <c r="M42">
        <v>0</v>
      </c>
      <c r="N42">
        <v>2</v>
      </c>
      <c r="O42">
        <v>1</v>
      </c>
      <c r="P42">
        <v>0</v>
      </c>
      <c r="Q42">
        <v>1</v>
      </c>
      <c r="R42">
        <v>0</v>
      </c>
      <c r="S42">
        <v>1</v>
      </c>
      <c r="T42">
        <v>0</v>
      </c>
      <c r="U42">
        <v>1</v>
      </c>
      <c r="V42">
        <f t="shared" si="11"/>
        <v>0.10555555555555556</v>
      </c>
    </row>
    <row r="43" spans="2:22"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11"/>
        <v>1.6666666666666666E-2</v>
      </c>
    </row>
    <row r="44" spans="2:22"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1</v>
      </c>
      <c r="R44">
        <v>0</v>
      </c>
      <c r="S44">
        <v>1</v>
      </c>
      <c r="T44">
        <v>0</v>
      </c>
      <c r="U44">
        <v>0</v>
      </c>
      <c r="V44">
        <f t="shared" si="11"/>
        <v>3.888888888888889E-2</v>
      </c>
    </row>
    <row r="45" spans="2:22"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f t="shared" si="11"/>
        <v>3.888888888888889E-2</v>
      </c>
    </row>
    <row r="46" spans="2:22"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1</v>
      </c>
      <c r="J46">
        <v>2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f t="shared" si="11"/>
        <v>3.888888888888889E-2</v>
      </c>
    </row>
    <row r="47" spans="2:22">
      <c r="B47">
        <v>0</v>
      </c>
      <c r="C47">
        <v>1</v>
      </c>
      <c r="D47">
        <v>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f t="shared" si="11"/>
        <v>4.4444444444444446E-2</v>
      </c>
    </row>
    <row r="48" spans="2:22"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f t="shared" si="11"/>
        <v>3.3333333333333333E-2</v>
      </c>
    </row>
    <row r="49" spans="2:22">
      <c r="B49">
        <v>1</v>
      </c>
      <c r="C49">
        <v>2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11"/>
        <v>3.888888888888889E-2</v>
      </c>
    </row>
    <row r="50" spans="2:22">
      <c r="B50">
        <v>1</v>
      </c>
      <c r="C50">
        <v>1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f t="shared" si="11"/>
        <v>3.3333333333333333E-2</v>
      </c>
    </row>
    <row r="51" spans="2:22">
      <c r="B51">
        <v>2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f t="shared" si="11"/>
        <v>4.4444444444444446E-2</v>
      </c>
    </row>
    <row r="52" spans="2:22"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2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f t="shared" si="11"/>
        <v>3.888888888888889E-2</v>
      </c>
    </row>
    <row r="53" spans="2:22">
      <c r="B53" s="5">
        <v>0</v>
      </c>
      <c r="C53" s="5">
        <v>0</v>
      </c>
      <c r="D53" s="5">
        <v>0</v>
      </c>
      <c r="E53" s="5">
        <v>0</v>
      </c>
      <c r="F53" s="5">
        <v>1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>
        <f t="shared" si="11"/>
        <v>1.6666666666666666E-2</v>
      </c>
    </row>
  </sheetData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1ADA-275A-EF4D-9C90-7C4E8472D287}">
  <dimension ref="A1:U54"/>
  <sheetViews>
    <sheetView topLeftCell="D1" zoomScale="94" zoomScaleNormal="125" workbookViewId="0">
      <selection activeCell="O3" sqref="O3:O17"/>
    </sheetView>
  </sheetViews>
  <sheetFormatPr baseColWidth="10" defaultRowHeight="16"/>
  <sheetData>
    <row r="1" spans="1:21">
      <c r="A1" t="s">
        <v>105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1">
      <c r="A2" t="s">
        <v>106</v>
      </c>
      <c r="B2">
        <f>LN(B1)</f>
        <v>0</v>
      </c>
      <c r="C2">
        <f t="shared" ref="C2:K2" si="0">LN(C1)</f>
        <v>0.69314718055994529</v>
      </c>
      <c r="D2">
        <f t="shared" si="0"/>
        <v>1.0986122886681098</v>
      </c>
      <c r="E2">
        <f t="shared" si="0"/>
        <v>1.3862943611198906</v>
      </c>
      <c r="F2">
        <f t="shared" si="0"/>
        <v>1.6094379124341003</v>
      </c>
      <c r="G2">
        <f t="shared" si="0"/>
        <v>1.791759469228055</v>
      </c>
      <c r="H2">
        <f t="shared" si="0"/>
        <v>1.9459101490553132</v>
      </c>
      <c r="I2">
        <f t="shared" si="0"/>
        <v>2.0794415416798357</v>
      </c>
      <c r="J2">
        <f t="shared" si="0"/>
        <v>2.1972245773362196</v>
      </c>
      <c r="K2">
        <f t="shared" si="0"/>
        <v>2.3025850929940459</v>
      </c>
      <c r="N2" t="s">
        <v>108</v>
      </c>
      <c r="O2" t="s">
        <v>109</v>
      </c>
    </row>
    <row r="3" spans="1:21">
      <c r="A3" t="s">
        <v>87</v>
      </c>
      <c r="B3">
        <v>8.9</v>
      </c>
      <c r="C3">
        <v>6.7</v>
      </c>
      <c r="D3">
        <v>4.7</v>
      </c>
      <c r="E3">
        <v>5.5</v>
      </c>
      <c r="F3">
        <v>5.0999999999999996</v>
      </c>
      <c r="G3">
        <v>4.4000000000000004</v>
      </c>
      <c r="H3">
        <v>5.9</v>
      </c>
      <c r="I3">
        <v>6.9</v>
      </c>
      <c r="J3">
        <v>4.8</v>
      </c>
      <c r="K3">
        <v>5.0999999999999996</v>
      </c>
      <c r="L3" cm="1">
        <f t="array" ref="L3:M3">LINEST(B3:K3,$B$2:$K$2)</f>
        <v>-1.23299427183416</v>
      </c>
      <c r="M3">
        <v>7.6623654182021967</v>
      </c>
      <c r="N3">
        <f>L3*LN(10)+M3</f>
        <v>4.8232911881298115</v>
      </c>
      <c r="O3">
        <f>N3/4</f>
        <v>1.2058227970324529</v>
      </c>
      <c r="P3" t="s">
        <v>34</v>
      </c>
    </row>
    <row r="4" spans="1:21">
      <c r="A4" t="s">
        <v>88</v>
      </c>
      <c r="B4" s="5">
        <v>7.1</v>
      </c>
      <c r="C4" s="5">
        <v>6.3</v>
      </c>
      <c r="D4" s="5">
        <v>6.3</v>
      </c>
      <c r="E4" s="5">
        <v>8.1</v>
      </c>
      <c r="F4" s="5">
        <v>7.4</v>
      </c>
      <c r="G4" s="5">
        <v>5.7</v>
      </c>
      <c r="H4" s="5">
        <v>6.3</v>
      </c>
      <c r="I4" s="5">
        <v>5.4</v>
      </c>
      <c r="J4" s="5">
        <v>7.4</v>
      </c>
      <c r="K4" s="5">
        <v>6.4</v>
      </c>
      <c r="L4" cm="1">
        <f t="array" ref="L4:M4">LINEST(B4:K4,$B$2:$K$2)</f>
        <v>-0.24176107950946349</v>
      </c>
      <c r="M4">
        <v>7.0051659089023035</v>
      </c>
      <c r="N4">
        <f t="shared" ref="N4:N17" si="1">L4*LN(10)+M4</f>
        <v>6.4484904511576646</v>
      </c>
      <c r="O4">
        <f>N4/4</f>
        <v>1.6121226127894162</v>
      </c>
      <c r="P4" t="s">
        <v>30</v>
      </c>
    </row>
    <row r="5" spans="1:21">
      <c r="A5" t="s">
        <v>89</v>
      </c>
      <c r="B5" s="5">
        <v>13.8</v>
      </c>
      <c r="C5" s="5">
        <v>14.2</v>
      </c>
      <c r="D5" s="5">
        <v>12.6</v>
      </c>
      <c r="E5" s="5">
        <v>8.1</v>
      </c>
      <c r="F5" s="5">
        <v>11</v>
      </c>
      <c r="G5" s="5">
        <v>9</v>
      </c>
      <c r="H5" s="5">
        <v>9</v>
      </c>
      <c r="I5" s="5">
        <v>12.2</v>
      </c>
      <c r="J5" s="5">
        <v>8.1</v>
      </c>
      <c r="K5" s="5">
        <v>10.3</v>
      </c>
      <c r="L5" cm="1">
        <f t="array" ref="L5:M5">LINEST(B5:K5,$B$2:$K$2)</f>
        <v>-2.1589339713349225</v>
      </c>
      <c r="M5">
        <v>14.090942942107107</v>
      </c>
      <c r="N5">
        <f t="shared" si="1"/>
        <v>9.1198137629528802</v>
      </c>
      <c r="O5">
        <f>N5/4</f>
        <v>2.27995344073822</v>
      </c>
      <c r="P5" t="s">
        <v>29</v>
      </c>
    </row>
    <row r="6" spans="1:21">
      <c r="A6" t="s">
        <v>90</v>
      </c>
      <c r="B6" s="5">
        <v>11.1</v>
      </c>
      <c r="C6" s="5">
        <v>9.8000000000000007</v>
      </c>
      <c r="D6" s="5">
        <v>7.4</v>
      </c>
      <c r="E6" s="5">
        <v>7.3</v>
      </c>
      <c r="F6" s="5">
        <v>7.8</v>
      </c>
      <c r="G6" s="5">
        <v>4.9000000000000004</v>
      </c>
      <c r="H6" s="5">
        <v>6.9</v>
      </c>
      <c r="I6" s="5">
        <v>5.2</v>
      </c>
      <c r="J6" s="5">
        <v>5.6</v>
      </c>
      <c r="K6" s="5">
        <v>6.1</v>
      </c>
      <c r="L6" cm="1">
        <f t="array" ref="L6:M6">LINEST(B6:K6,$B$2:$K$2)</f>
        <v>-2.4683954231984258</v>
      </c>
      <c r="M6">
        <v>10.938366286548035</v>
      </c>
      <c r="N6">
        <f t="shared" si="1"/>
        <v>5.2546757814766112</v>
      </c>
      <c r="O6">
        <f>N6/4</f>
        <v>1.3136689453691528</v>
      </c>
      <c r="P6" t="s">
        <v>31</v>
      </c>
    </row>
    <row r="7" spans="1:21">
      <c r="A7" t="s">
        <v>91</v>
      </c>
      <c r="B7">
        <v>12.1</v>
      </c>
      <c r="C7">
        <v>10.6</v>
      </c>
      <c r="D7">
        <v>13.6</v>
      </c>
      <c r="E7">
        <v>9.1999999999999993</v>
      </c>
      <c r="F7">
        <v>8.3000000000000007</v>
      </c>
      <c r="G7">
        <v>8.5</v>
      </c>
      <c r="H7">
        <v>12.3</v>
      </c>
      <c r="I7">
        <v>7</v>
      </c>
      <c r="J7">
        <v>6.4</v>
      </c>
      <c r="K7">
        <v>5.4</v>
      </c>
      <c r="L7" cm="1">
        <f t="array" ref="L7:M7">LINEST(B7:K7,$B$2:$K$2)</f>
        <v>-2.5760467657999864</v>
      </c>
      <c r="M7">
        <v>13.230967315817985</v>
      </c>
      <c r="N7">
        <f t="shared" si="1"/>
        <v>7.299400434031412</v>
      </c>
      <c r="O7">
        <f>N7/4</f>
        <v>1.824850108507853</v>
      </c>
      <c r="P7" t="s">
        <v>32</v>
      </c>
    </row>
    <row r="8" spans="1:21">
      <c r="A8" t="s">
        <v>92</v>
      </c>
      <c r="B8">
        <v>9.4</v>
      </c>
      <c r="C8">
        <v>8.8000000000000007</v>
      </c>
      <c r="D8">
        <v>7.6</v>
      </c>
      <c r="E8">
        <v>7.2</v>
      </c>
      <c r="F8">
        <v>6.4</v>
      </c>
      <c r="G8">
        <v>8</v>
      </c>
      <c r="H8">
        <v>6.8</v>
      </c>
      <c r="I8">
        <v>9.1999999999999993</v>
      </c>
      <c r="J8">
        <v>7.1</v>
      </c>
      <c r="K8">
        <v>7.1</v>
      </c>
      <c r="L8" cm="1">
        <f t="array" ref="L8:M8">LINEST(B8:K8,$B$2:$K$2)</f>
        <v>-0.79273408018608937</v>
      </c>
      <c r="M8">
        <v>8.9573782607868218</v>
      </c>
      <c r="N8">
        <f t="shared" si="1"/>
        <v>7.1320405850419855</v>
      </c>
      <c r="O8">
        <f>N8/4</f>
        <v>1.7830101462604964</v>
      </c>
      <c r="P8" t="s">
        <v>33</v>
      </c>
    </row>
    <row r="9" spans="1:21">
      <c r="A9" t="s">
        <v>93</v>
      </c>
      <c r="B9">
        <v>16.100000000000001</v>
      </c>
      <c r="C9">
        <v>12</v>
      </c>
      <c r="D9">
        <v>11.6</v>
      </c>
      <c r="E9">
        <v>11.8</v>
      </c>
      <c r="F9">
        <v>9.6999999999999993</v>
      </c>
      <c r="G9">
        <v>8.6999999999999993</v>
      </c>
      <c r="H9">
        <v>11.3</v>
      </c>
      <c r="I9">
        <v>7.1</v>
      </c>
      <c r="J9">
        <v>8.4</v>
      </c>
      <c r="K9">
        <v>7.9</v>
      </c>
      <c r="L9" cm="1">
        <f t="array" ref="L9:M9">LINEST(B9:K9,$B$2:$K$2)</f>
        <v>-3.3028758679532211</v>
      </c>
      <c r="M9">
        <v>15.448799978722036</v>
      </c>
      <c r="N9">
        <f t="shared" si="1"/>
        <v>7.8436472411631781</v>
      </c>
      <c r="O9">
        <f>N9/4</f>
        <v>1.9609118102907945</v>
      </c>
      <c r="P9" t="s">
        <v>35</v>
      </c>
    </row>
    <row r="10" spans="1:21">
      <c r="A10" t="s">
        <v>94</v>
      </c>
      <c r="B10" s="5">
        <v>10.1</v>
      </c>
      <c r="C10" s="5">
        <v>7.6</v>
      </c>
      <c r="D10" s="5">
        <v>8.6999999999999993</v>
      </c>
      <c r="E10" s="5">
        <v>11</v>
      </c>
      <c r="F10" s="5">
        <v>9.9</v>
      </c>
      <c r="G10" s="5">
        <v>8.6</v>
      </c>
      <c r="H10" s="5">
        <v>7</v>
      </c>
      <c r="I10" s="5">
        <v>7.3</v>
      </c>
      <c r="J10" s="5">
        <v>8.1</v>
      </c>
      <c r="K10" s="5">
        <v>7.5</v>
      </c>
      <c r="L10" cm="1">
        <f t="array" ref="L10:M10">LINEST(B10:K10,$B$2:$K$2)</f>
        <v>-0.8912495956525327</v>
      </c>
      <c r="M10">
        <v>9.9261801598322581</v>
      </c>
      <c r="N10">
        <f t="shared" si="1"/>
        <v>7.8740021267457649</v>
      </c>
      <c r="O10">
        <f>N10/4</f>
        <v>1.9685005316864412</v>
      </c>
      <c r="P10" t="s">
        <v>36</v>
      </c>
      <c r="R10" s="5"/>
      <c r="S10" s="5"/>
      <c r="T10" s="5"/>
      <c r="U10" s="5"/>
    </row>
    <row r="11" spans="1:21">
      <c r="A11" t="s">
        <v>95</v>
      </c>
      <c r="B11">
        <v>7.4</v>
      </c>
      <c r="C11">
        <v>8.6</v>
      </c>
      <c r="D11">
        <v>8.1999999999999993</v>
      </c>
      <c r="E11">
        <v>7</v>
      </c>
      <c r="F11">
        <v>6.6</v>
      </c>
      <c r="G11">
        <v>7.7</v>
      </c>
      <c r="H11">
        <v>8.6999999999999993</v>
      </c>
      <c r="I11">
        <v>8.1</v>
      </c>
      <c r="J11">
        <v>9.1</v>
      </c>
      <c r="K11">
        <v>7.3</v>
      </c>
      <c r="L11" cm="1">
        <f t="array" ref="L11:M11">LINEST(B11:K11,$B$2:$K$2)</f>
        <v>0.16488455713348696</v>
      </c>
      <c r="M11">
        <v>7.6209515622126975</v>
      </c>
      <c r="N11">
        <f t="shared" si="1"/>
        <v>8.0006122855331903</v>
      </c>
      <c r="O11">
        <f>N11/4</f>
        <v>2.0001530713832976</v>
      </c>
      <c r="P11" t="s">
        <v>68</v>
      </c>
    </row>
    <row r="12" spans="1:21">
      <c r="A12" t="s">
        <v>96</v>
      </c>
      <c r="B12">
        <v>16.399999999999999</v>
      </c>
      <c r="C12">
        <v>14.3</v>
      </c>
      <c r="D12">
        <v>10.1</v>
      </c>
      <c r="E12">
        <v>9.1</v>
      </c>
      <c r="F12">
        <v>6.6</v>
      </c>
      <c r="G12">
        <v>8</v>
      </c>
      <c r="H12">
        <v>6.5</v>
      </c>
      <c r="I12">
        <v>6.1</v>
      </c>
      <c r="J12">
        <v>6.1</v>
      </c>
      <c r="K12">
        <v>6.1</v>
      </c>
      <c r="L12" cm="1">
        <f t="array" ref="L12:M12">LINEST(B12:K12,$B$2:$K$2)</f>
        <v>-4.8637989150090135</v>
      </c>
      <c r="M12">
        <v>16.276482548477318</v>
      </c>
      <c r="N12">
        <f t="shared" si="1"/>
        <v>5.0771716714569486</v>
      </c>
      <c r="O12">
        <f>N12/4</f>
        <v>1.2692929178642371</v>
      </c>
      <c r="P12" t="s">
        <v>78</v>
      </c>
    </row>
    <row r="13" spans="1:21">
      <c r="A13" t="s">
        <v>97</v>
      </c>
      <c r="B13">
        <v>9.5</v>
      </c>
      <c r="C13">
        <v>11</v>
      </c>
      <c r="D13">
        <v>7.7</v>
      </c>
      <c r="E13">
        <v>9.6999999999999993</v>
      </c>
      <c r="F13">
        <v>7.8</v>
      </c>
      <c r="G13">
        <v>9.8000000000000007</v>
      </c>
      <c r="H13">
        <v>8.3000000000000007</v>
      </c>
      <c r="I13">
        <v>7.3</v>
      </c>
      <c r="J13">
        <v>8.1999999999999993</v>
      </c>
      <c r="K13">
        <v>8</v>
      </c>
      <c r="L13" cm="1">
        <f t="array" ref="L13:M13">LINEST(B13:K13,$B$2:$K$2)</f>
        <v>-0.91994457058413026</v>
      </c>
      <c r="M13">
        <v>10.11952223384635</v>
      </c>
      <c r="N13">
        <f t="shared" si="1"/>
        <v>8.0012715792385229</v>
      </c>
      <c r="O13">
        <f>N13/4</f>
        <v>2.0003178948096307</v>
      </c>
      <c r="P13" t="s">
        <v>79</v>
      </c>
    </row>
    <row r="14" spans="1:21">
      <c r="A14" t="s">
        <v>98</v>
      </c>
      <c r="B14">
        <v>13.2</v>
      </c>
      <c r="C14">
        <v>13.9</v>
      </c>
      <c r="D14">
        <v>9.6</v>
      </c>
      <c r="E14">
        <v>10</v>
      </c>
      <c r="F14">
        <v>8.1999999999999993</v>
      </c>
      <c r="G14">
        <v>8.1999999999999993</v>
      </c>
      <c r="H14">
        <v>8</v>
      </c>
      <c r="I14">
        <v>8</v>
      </c>
      <c r="J14">
        <v>7.2</v>
      </c>
      <c r="K14">
        <v>7.4</v>
      </c>
      <c r="L14" cm="1">
        <f t="array" ref="L14:M14">LINEST(B14:K14,$B$2:$K$2)</f>
        <v>-3.0050563428881243</v>
      </c>
      <c r="M14">
        <v>13.908961080831972</v>
      </c>
      <c r="N14">
        <f t="shared" si="1"/>
        <v>6.9895631420905726</v>
      </c>
      <c r="O14">
        <f>N14/4</f>
        <v>1.7473907855226432</v>
      </c>
      <c r="P14" t="s">
        <v>80</v>
      </c>
    </row>
    <row r="15" spans="1:21">
      <c r="A15" t="s">
        <v>99</v>
      </c>
      <c r="B15">
        <v>10.5</v>
      </c>
      <c r="C15">
        <v>8.4</v>
      </c>
      <c r="D15">
        <v>7.9</v>
      </c>
      <c r="E15">
        <v>11.7</v>
      </c>
      <c r="F15">
        <v>8.3000000000000007</v>
      </c>
      <c r="G15">
        <v>7.7</v>
      </c>
      <c r="H15">
        <v>7.9</v>
      </c>
      <c r="I15">
        <v>8.6</v>
      </c>
      <c r="J15">
        <v>6.9</v>
      </c>
      <c r="K15">
        <v>6.6</v>
      </c>
      <c r="L15" cm="1">
        <f t="array" ref="L15:M15">LINEST(B15:K15,$B$2:$K$2)</f>
        <v>-1.2701808180904617</v>
      </c>
      <c r="M15">
        <v>10.368533511884491</v>
      </c>
      <c r="N15">
        <f t="shared" si="1"/>
        <v>7.443834094742412</v>
      </c>
      <c r="O15">
        <f>N15/4</f>
        <v>1.860958523685603</v>
      </c>
      <c r="P15" t="s">
        <v>81</v>
      </c>
    </row>
    <row r="16" spans="1:21">
      <c r="A16" t="s">
        <v>100</v>
      </c>
      <c r="B16">
        <v>10.9</v>
      </c>
      <c r="C16">
        <v>16.899999999999999</v>
      </c>
      <c r="D16">
        <v>16</v>
      </c>
      <c r="E16">
        <v>13.2</v>
      </c>
      <c r="F16">
        <v>9.9</v>
      </c>
      <c r="G16">
        <v>9.8000000000000007</v>
      </c>
      <c r="H16">
        <v>8.5</v>
      </c>
      <c r="I16">
        <v>9</v>
      </c>
      <c r="J16">
        <v>10.8</v>
      </c>
      <c r="K16">
        <v>9.4</v>
      </c>
      <c r="L16" cm="1">
        <f t="array" ref="L16:M16">LINEST(B16:K16,$B$2:$K$2)</f>
        <v>-2.291437024453431</v>
      </c>
      <c r="M16">
        <v>14.901081020256516</v>
      </c>
      <c r="N16">
        <f t="shared" si="1"/>
        <v>9.6248522862154129</v>
      </c>
      <c r="O16">
        <f>N16/4</f>
        <v>2.4062130715538532</v>
      </c>
      <c r="P16" t="s">
        <v>85</v>
      </c>
    </row>
    <row r="17" spans="1:16">
      <c r="A17" t="s">
        <v>107</v>
      </c>
      <c r="B17">
        <v>15</v>
      </c>
      <c r="C17">
        <v>12.8</v>
      </c>
      <c r="D17">
        <v>14.6</v>
      </c>
      <c r="E17">
        <v>11</v>
      </c>
      <c r="F17">
        <v>8.1</v>
      </c>
      <c r="G17">
        <v>7.3</v>
      </c>
      <c r="H17">
        <v>8</v>
      </c>
      <c r="I17">
        <v>7.4</v>
      </c>
      <c r="J17">
        <v>6.6</v>
      </c>
      <c r="K17">
        <v>7</v>
      </c>
      <c r="L17" cm="1">
        <f t="array" ref="L17:M17">LINEST(B17:K17,$B$2:$K$2)</f>
        <v>-4.1085652527513599</v>
      </c>
      <c r="M17">
        <v>15.985746466095883</v>
      </c>
      <c r="N17">
        <f t="shared" si="1"/>
        <v>6.5254253615172875</v>
      </c>
      <c r="O17">
        <f>N17/4</f>
        <v>1.6313563403793219</v>
      </c>
      <c r="P17" t="s">
        <v>86</v>
      </c>
    </row>
    <row r="41" spans="2:12"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f>SUM(C41:K41)/36</f>
        <v>2.7777777777777776E-2</v>
      </c>
    </row>
    <row r="42" spans="2:12"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ref="L42:L54" si="2">SUM(C42:K42)/36</f>
        <v>2.7777777777777776E-2</v>
      </c>
    </row>
    <row r="43" spans="2:12">
      <c r="B43">
        <v>1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2"/>
        <v>5.5555555555555552E-2</v>
      </c>
    </row>
    <row r="44" spans="2:12"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f t="shared" si="2"/>
        <v>2.7777777777777776E-2</v>
      </c>
    </row>
    <row r="45" spans="2:12"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f t="shared" si="2"/>
        <v>2.7777777777777776E-2</v>
      </c>
    </row>
    <row r="46" spans="2:12"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2"/>
        <v>0</v>
      </c>
    </row>
    <row r="47" spans="2:12"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f t="shared" si="2"/>
        <v>8.3333333333333329E-2</v>
      </c>
    </row>
    <row r="48" spans="2:12"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2"/>
        <v>0</v>
      </c>
    </row>
    <row r="49" spans="2:12"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2"/>
        <v>0</v>
      </c>
    </row>
    <row r="50" spans="2:12"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f t="shared" si="2"/>
        <v>5.5555555555555552E-2</v>
      </c>
    </row>
    <row r="51" spans="2:12"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f t="shared" si="2"/>
        <v>8.3333333333333329E-2</v>
      </c>
    </row>
    <row r="52" spans="2:12"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f t="shared" si="2"/>
        <v>2.7777777777777776E-2</v>
      </c>
    </row>
    <row r="53" spans="2:12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f t="shared" si="2"/>
        <v>5.5555555555555552E-2</v>
      </c>
    </row>
    <row r="54" spans="2:12"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f t="shared" si="2"/>
        <v>8.3333333333333329E-2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template</vt:lpstr>
      <vt:lpstr>YJQ</vt:lpstr>
      <vt:lpstr>RPF</vt:lpstr>
      <vt:lpstr>RPF2</vt:lpstr>
      <vt:lpstr>RP</vt:lpstr>
      <vt:lpstr>lijunxian</vt:lpstr>
      <vt:lpstr>hlb</vt:lpstr>
      <vt:lpstr>tw</vt:lpstr>
      <vt:lpstr>xzy</vt:lpstr>
      <vt:lpstr>pama</vt:lpstr>
      <vt:lpstr>zyc</vt:lpstr>
      <vt:lpstr>tes</vt:lpstr>
      <vt:lpstr>萧</vt:lpstr>
      <vt:lpstr>ytc</vt:lpstr>
      <vt:lpstr>yier</vt:lpstr>
      <vt:lpstr>汇总</vt:lpstr>
      <vt:lpstr>汇总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jiaqin yan</dc:creator>
  <cp:lastModifiedBy>jiaqin yan</cp:lastModifiedBy>
  <dcterms:created xsi:type="dcterms:W3CDTF">2025-11-09T01:37:14Z</dcterms:created>
  <dcterms:modified xsi:type="dcterms:W3CDTF">2026-01-04T08:12:48Z</dcterms:modified>
</cp:coreProperties>
</file>